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nephasit/Desktop/"/>
    </mc:Choice>
  </mc:AlternateContent>
  <xr:revisionPtr revIDLastSave="0" documentId="13_ncr:1_{039D97E1-37F2-4F4B-B814-F109CD369704}" xr6:coauthVersionLast="47" xr6:coauthVersionMax="47" xr10:uidLastSave="{00000000-0000-0000-0000-000000000000}"/>
  <bookViews>
    <workbookView xWindow="0" yWindow="640" windowWidth="30240" windowHeight="17040" tabRatio="820" xr2:uid="{00000000-000D-0000-FFFF-FFFF00000000}"/>
  </bookViews>
  <sheets>
    <sheet name="6903-006-พิชชานันท์" sheetId="35" r:id="rId1"/>
    <sheet name="6903-005-พิชชานันท์" sheetId="34" r:id="rId2"/>
    <sheet name="6903-004-พิงพันธุ์" sheetId="33" r:id="rId3"/>
    <sheet name="6903-003-จิรายุ" sheetId="32" r:id="rId4"/>
    <sheet name="6903-002-ชยันต์" sheetId="30" r:id="rId5"/>
    <sheet name="6903-001-คอล โฟร์ แคร์" sheetId="31" r:id="rId6"/>
    <sheet name="6902-006-จิรายุ" sheetId="28" r:id="rId7"/>
    <sheet name="6902-005-ชุติกาญจน์" sheetId="29" r:id="rId8"/>
    <sheet name="6902-004-เอบีที ออดิทติ้ง" sheetId="27" r:id="rId9"/>
    <sheet name="6902-003-พิชชานันท์" sheetId="26" r:id="rId10"/>
    <sheet name="6901-002-ชยันต์" sheetId="25" r:id="rId11"/>
    <sheet name="6902-001-คอล โฟร์ แคร์" sheetId="24" r:id="rId12"/>
    <sheet name="6901-006-จิรายุ" sheetId="23" r:id="rId13"/>
    <sheet name="6901-005-ชุติกาญจน์" sheetId="22" r:id="rId14"/>
    <sheet name="6901-004-พิชชานันท์" sheetId="20" r:id="rId15"/>
    <sheet name="6901-003-ชยันต์" sheetId="18" r:id="rId16"/>
    <sheet name="6901-002-คอล โฟร์ แคร์" sheetId="21" r:id="rId17"/>
    <sheet name="6901-001-พิชชานันท์" sheetId="19" r:id="rId18"/>
    <sheet name="6812-03-ชุติกาญจน์" sheetId="16" r:id="rId19"/>
    <sheet name="6812-02-จิรายุ" sheetId="15" r:id="rId20"/>
    <sheet name="6812-001-ชยันต์" sheetId="17" r:id="rId21"/>
    <sheet name="6811-001-ชยันต์" sheetId="14" r:id="rId22"/>
    <sheet name="6810-03-ชุติกาญจน์" sheetId="13" r:id="rId23"/>
    <sheet name="6810-02-ชุติกาญจน์" sheetId="12" r:id="rId24"/>
    <sheet name="6810-001-ชยันต์" sheetId="10" r:id="rId25"/>
  </sheets>
  <definedNames>
    <definedName name="_xlnm.Print_Area" localSheetId="24">'6810-001-ชยันต์'!$A$1:$BV$64</definedName>
    <definedName name="_xlnm.Print_Area" localSheetId="23">'6810-02-ชุติกาญจน์'!$A$1:$BV$64</definedName>
    <definedName name="_xlnm.Print_Area" localSheetId="22">'6810-03-ชุติกาญจน์'!$A$1:$BV$64</definedName>
    <definedName name="_xlnm.Print_Area" localSheetId="21">'6811-001-ชยันต์'!$A$1:$BV$64</definedName>
    <definedName name="_xlnm.Print_Area" localSheetId="20">'6812-001-ชยันต์'!$A$1:$BV$64</definedName>
    <definedName name="_xlnm.Print_Area" localSheetId="19">'6812-02-จิรายุ'!$A$1:$BV$64</definedName>
    <definedName name="_xlnm.Print_Area" localSheetId="18">'6812-03-ชุติกาญจน์'!$A$1:$BV$64</definedName>
    <definedName name="_xlnm.Print_Area" localSheetId="17">'6901-001-พิชชานันท์'!$A$1:$BV$64</definedName>
    <definedName name="_xlnm.Print_Area" localSheetId="16">'6901-002-คอล โฟร์ แคร์'!$A$1:$BV$64</definedName>
    <definedName name="_xlnm.Print_Area" localSheetId="10">'6901-002-ชยันต์'!$A$1:$BV$64</definedName>
    <definedName name="_xlnm.Print_Area" localSheetId="15">'6901-003-ชยันต์'!$A$1:$BV$64</definedName>
    <definedName name="_xlnm.Print_Area" localSheetId="14">'6901-004-พิชชานันท์'!$A$1:$BV$64</definedName>
    <definedName name="_xlnm.Print_Area" localSheetId="13">'6901-005-ชุติกาญจน์'!$A$1:$BV$64</definedName>
    <definedName name="_xlnm.Print_Area" localSheetId="12">'6901-006-จิรายุ'!$A$1:$BV$64</definedName>
    <definedName name="_xlnm.Print_Area" localSheetId="11">'6902-001-คอล โฟร์ แคร์'!$A$1:$BV$64</definedName>
    <definedName name="_xlnm.Print_Area" localSheetId="9">'6902-003-พิชชานันท์'!$A$1:$BV$64</definedName>
    <definedName name="_xlnm.Print_Area" localSheetId="8">'6902-004-เอบีที ออดิทติ้ง'!$A$1:$BV$64</definedName>
    <definedName name="_xlnm.Print_Area" localSheetId="7">'6902-005-ชุติกาญจน์'!$A$1:$BV$64</definedName>
    <definedName name="_xlnm.Print_Area" localSheetId="6">'6902-006-จิรายุ'!$A$1:$BV$64</definedName>
    <definedName name="_xlnm.Print_Area" localSheetId="5">'6903-001-คอล โฟร์ แคร์'!$A$1:$BV$64</definedName>
    <definedName name="_xlnm.Print_Area" localSheetId="4">'6903-002-ชยันต์'!$A$1:$BV$64</definedName>
    <definedName name="_xlnm.Print_Area" localSheetId="3">'6903-003-จิรายุ'!$A$1:$BV$64</definedName>
    <definedName name="_xlnm.Print_Area" localSheetId="2">'6903-004-พิงพันธุ์'!$A$1:$BV$64</definedName>
    <definedName name="_xlnm.Print_Area" localSheetId="1">'6903-005-พิชชานันท์'!$A$1:$BV$64</definedName>
    <definedName name="_xlnm.Print_Area" localSheetId="0">'6903-006-พิชชานันท์'!$A$1:$BV$64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35" l="1"/>
  <c r="BK59" i="35" s="1"/>
  <c r="AH48" i="35"/>
  <c r="O48" i="35"/>
  <c r="BS46" i="35"/>
  <c r="BQ46" i="35"/>
  <c r="BI46" i="35"/>
  <c r="AZ46" i="35"/>
  <c r="AX46" i="35"/>
  <c r="AP46" i="35"/>
  <c r="AH46" i="35"/>
  <c r="AF46" i="35"/>
  <c r="X46" i="35"/>
  <c r="Q46" i="35"/>
  <c r="BU46" i="35" s="1"/>
  <c r="BS45" i="35"/>
  <c r="BQ45" i="35"/>
  <c r="AZ45" i="35"/>
  <c r="AX45" i="35"/>
  <c r="AH45" i="35"/>
  <c r="AF45" i="35"/>
  <c r="Q45" i="35"/>
  <c r="BB45" i="35" s="1"/>
  <c r="BU44" i="35"/>
  <c r="BS44" i="35"/>
  <c r="BB44" i="35"/>
  <c r="AZ44" i="35"/>
  <c r="AJ44" i="35"/>
  <c r="AH44" i="35"/>
  <c r="BU43" i="35"/>
  <c r="BS43" i="35"/>
  <c r="BB43" i="35"/>
  <c r="AZ43" i="35"/>
  <c r="AJ43" i="35"/>
  <c r="AH43" i="35"/>
  <c r="BU42" i="35"/>
  <c r="BS42" i="35"/>
  <c r="BB42" i="35"/>
  <c r="AZ42" i="35"/>
  <c r="AJ42" i="35"/>
  <c r="AH42" i="35"/>
  <c r="BU41" i="35"/>
  <c r="BS41" i="35"/>
  <c r="BB41" i="35"/>
  <c r="AZ41" i="35"/>
  <c r="AJ41" i="35"/>
  <c r="AH41" i="35"/>
  <c r="BU40" i="35"/>
  <c r="BS40" i="35"/>
  <c r="BB40" i="35"/>
  <c r="AZ40" i="35"/>
  <c r="AJ40" i="35"/>
  <c r="AH40" i="35"/>
  <c r="BU39" i="35"/>
  <c r="BS39" i="35"/>
  <c r="BB39" i="35"/>
  <c r="AZ39" i="35"/>
  <c r="AJ39" i="35"/>
  <c r="AH39" i="35"/>
  <c r="BU38" i="35"/>
  <c r="BS38" i="35"/>
  <c r="BB38" i="35"/>
  <c r="AZ38" i="35"/>
  <c r="AJ38" i="35"/>
  <c r="AH38" i="35"/>
  <c r="BU37" i="35"/>
  <c r="BS37" i="35"/>
  <c r="BB37" i="35"/>
  <c r="AZ37" i="35"/>
  <c r="AJ37" i="35"/>
  <c r="AH37" i="35"/>
  <c r="BU36" i="35"/>
  <c r="BS36" i="35"/>
  <c r="BB36" i="35"/>
  <c r="AZ36" i="35"/>
  <c r="AJ36" i="35"/>
  <c r="AH36" i="35"/>
  <c r="BU35" i="35"/>
  <c r="BS35" i="35"/>
  <c r="BB35" i="35"/>
  <c r="AZ35" i="35"/>
  <c r="AJ35" i="35"/>
  <c r="AH35" i="35"/>
  <c r="BU34" i="35"/>
  <c r="BS34" i="35"/>
  <c r="BB34" i="35"/>
  <c r="AZ34" i="35"/>
  <c r="AJ34" i="35"/>
  <c r="AH34" i="35"/>
  <c r="BU33" i="35"/>
  <c r="BS33" i="35"/>
  <c r="BB33" i="35"/>
  <c r="AZ33" i="35"/>
  <c r="AJ33" i="35"/>
  <c r="AH33" i="35"/>
  <c r="BU32" i="35"/>
  <c r="BS32" i="35"/>
  <c r="BB32" i="35"/>
  <c r="AZ32" i="35"/>
  <c r="AJ32" i="35"/>
  <c r="AH32" i="35"/>
  <c r="BU31" i="35"/>
  <c r="BS31" i="35"/>
  <c r="BB31" i="35"/>
  <c r="AZ31" i="35"/>
  <c r="AJ31" i="35"/>
  <c r="AH31" i="35"/>
  <c r="BU30" i="35"/>
  <c r="BS30" i="35"/>
  <c r="BB30" i="35"/>
  <c r="AZ30" i="35"/>
  <c r="AJ30" i="35"/>
  <c r="AH30" i="35"/>
  <c r="BU29" i="35"/>
  <c r="BS29" i="35"/>
  <c r="BB29" i="35"/>
  <c r="AZ29" i="35"/>
  <c r="AJ29" i="35"/>
  <c r="AH29" i="35"/>
  <c r="BU28" i="35"/>
  <c r="BS28" i="35"/>
  <c r="BB28" i="35"/>
  <c r="AZ28" i="35"/>
  <c r="AJ28" i="35"/>
  <c r="AH28" i="35"/>
  <c r="BU27" i="35"/>
  <c r="BS27" i="35"/>
  <c r="BB27" i="35"/>
  <c r="AZ27" i="35"/>
  <c r="AJ27" i="35"/>
  <c r="AH27" i="35"/>
  <c r="BU26" i="35"/>
  <c r="BS26" i="35"/>
  <c r="BB26" i="35"/>
  <c r="AZ26" i="35"/>
  <c r="AJ26" i="35"/>
  <c r="AH26" i="35"/>
  <c r="BU25" i="35"/>
  <c r="BS25" i="35"/>
  <c r="BB25" i="35"/>
  <c r="AZ25" i="35"/>
  <c r="AJ25" i="35"/>
  <c r="AH25" i="35"/>
  <c r="BU24" i="35"/>
  <c r="BS24" i="35"/>
  <c r="BB24" i="35"/>
  <c r="AZ24" i="35"/>
  <c r="AJ24" i="35"/>
  <c r="AH24" i="35"/>
  <c r="BU23" i="35"/>
  <c r="BS23" i="35"/>
  <c r="BB23" i="35"/>
  <c r="AZ23" i="35"/>
  <c r="AJ23" i="35"/>
  <c r="AH23" i="35"/>
  <c r="BQ18" i="35"/>
  <c r="BN18" i="35"/>
  <c r="BL18" i="35"/>
  <c r="AX18" i="35"/>
  <c r="AU18" i="35"/>
  <c r="AS18" i="35"/>
  <c r="AF18" i="35"/>
  <c r="AC18" i="35"/>
  <c r="AA18" i="35"/>
  <c r="BS16" i="35"/>
  <c r="BQ16" i="35"/>
  <c r="BN16" i="35"/>
  <c r="BL16" i="35"/>
  <c r="AZ16" i="35"/>
  <c r="AX16" i="35"/>
  <c r="AU16" i="35"/>
  <c r="AS16" i="35"/>
  <c r="AH16" i="35"/>
  <c r="AF16" i="35"/>
  <c r="AC16" i="35"/>
  <c r="AA16" i="35"/>
  <c r="BG14" i="35"/>
  <c r="AN14" i="35"/>
  <c r="V14" i="35"/>
  <c r="BT12" i="35"/>
  <c r="BG12" i="35"/>
  <c r="BA12" i="35"/>
  <c r="AN12" i="35"/>
  <c r="AI12" i="35"/>
  <c r="V12" i="35"/>
  <c r="BT11" i="35"/>
  <c r="BA11" i="35"/>
  <c r="AI11" i="35"/>
  <c r="BG8" i="35"/>
  <c r="AN8" i="35"/>
  <c r="V8" i="35"/>
  <c r="BT6" i="35"/>
  <c r="BG6" i="35"/>
  <c r="BA6" i="35"/>
  <c r="AN6" i="35"/>
  <c r="AI6" i="35"/>
  <c r="V6" i="35"/>
  <c r="BT5" i="35"/>
  <c r="BA5" i="35"/>
  <c r="AI5" i="35"/>
  <c r="BU3" i="35"/>
  <c r="BB3" i="35"/>
  <c r="AJ3" i="35"/>
  <c r="G59" i="34"/>
  <c r="BK59" i="34" s="1"/>
  <c r="O48" i="34"/>
  <c r="BS46" i="34"/>
  <c r="BQ46" i="34"/>
  <c r="BI46" i="34"/>
  <c r="AZ46" i="34"/>
  <c r="AX46" i="34"/>
  <c r="AP46" i="34"/>
  <c r="AH46" i="34"/>
  <c r="AF46" i="34"/>
  <c r="X46" i="34"/>
  <c r="Q46" i="34"/>
  <c r="BU46" i="34" s="1"/>
  <c r="BS45" i="34"/>
  <c r="BQ45" i="34"/>
  <c r="AZ45" i="34"/>
  <c r="AX45" i="34"/>
  <c r="AH45" i="34"/>
  <c r="AF45" i="34"/>
  <c r="Q45" i="34"/>
  <c r="BB45" i="34" s="1"/>
  <c r="BU44" i="34"/>
  <c r="BS44" i="34"/>
  <c r="BB44" i="34"/>
  <c r="AZ44" i="34"/>
  <c r="AJ44" i="34"/>
  <c r="AH44" i="34"/>
  <c r="BU43" i="34"/>
  <c r="BS43" i="34"/>
  <c r="BB43" i="34"/>
  <c r="AZ43" i="34"/>
  <c r="AJ43" i="34"/>
  <c r="AH43" i="34"/>
  <c r="BU42" i="34"/>
  <c r="BS42" i="34"/>
  <c r="BB42" i="34"/>
  <c r="AZ42" i="34"/>
  <c r="AJ42" i="34"/>
  <c r="AH42" i="34"/>
  <c r="BU41" i="34"/>
  <c r="BS41" i="34"/>
  <c r="BB41" i="34"/>
  <c r="AZ41" i="34"/>
  <c r="AJ41" i="34"/>
  <c r="AH41" i="34"/>
  <c r="BU40" i="34"/>
  <c r="BS40" i="34"/>
  <c r="BB40" i="34"/>
  <c r="AZ40" i="34"/>
  <c r="AJ40" i="34"/>
  <c r="AH40" i="34"/>
  <c r="BU39" i="34"/>
  <c r="BS39" i="34"/>
  <c r="BB39" i="34"/>
  <c r="AZ39" i="34"/>
  <c r="AJ39" i="34"/>
  <c r="AH39" i="34"/>
  <c r="BU38" i="34"/>
  <c r="BS38" i="34"/>
  <c r="BB38" i="34"/>
  <c r="AZ38" i="34"/>
  <c r="AJ38" i="34"/>
  <c r="AH38" i="34"/>
  <c r="BU37" i="34"/>
  <c r="BS37" i="34"/>
  <c r="BB37" i="34"/>
  <c r="AZ37" i="34"/>
  <c r="AJ37" i="34"/>
  <c r="AH37" i="34"/>
  <c r="BU36" i="34"/>
  <c r="BS36" i="34"/>
  <c r="BB36" i="34"/>
  <c r="AZ36" i="34"/>
  <c r="AJ36" i="34"/>
  <c r="AH36" i="34"/>
  <c r="BU35" i="34"/>
  <c r="BS35" i="34"/>
  <c r="BB35" i="34"/>
  <c r="AZ35" i="34"/>
  <c r="AJ35" i="34"/>
  <c r="AH35" i="34"/>
  <c r="BU34" i="34"/>
  <c r="BS34" i="34"/>
  <c r="BB34" i="34"/>
  <c r="AZ34" i="34"/>
  <c r="AJ34" i="34"/>
  <c r="AH34" i="34"/>
  <c r="BU33" i="34"/>
  <c r="BS33" i="34"/>
  <c r="BB33" i="34"/>
  <c r="AZ33" i="34"/>
  <c r="AJ33" i="34"/>
  <c r="AH33" i="34"/>
  <c r="BU32" i="34"/>
  <c r="BS32" i="34"/>
  <c r="BB32" i="34"/>
  <c r="AZ32" i="34"/>
  <c r="AJ32" i="34"/>
  <c r="AH32" i="34"/>
  <c r="BU31" i="34"/>
  <c r="BS31" i="34"/>
  <c r="BB31" i="34"/>
  <c r="AZ31" i="34"/>
  <c r="AJ31" i="34"/>
  <c r="AH31" i="34"/>
  <c r="BU30" i="34"/>
  <c r="BS30" i="34"/>
  <c r="BB30" i="34"/>
  <c r="AZ30" i="34"/>
  <c r="AJ30" i="34"/>
  <c r="AH30" i="34"/>
  <c r="BU29" i="34"/>
  <c r="BS29" i="34"/>
  <c r="BB29" i="34"/>
  <c r="AZ29" i="34"/>
  <c r="AJ29" i="34"/>
  <c r="AH29" i="34"/>
  <c r="BU28" i="34"/>
  <c r="BS28" i="34"/>
  <c r="BB28" i="34"/>
  <c r="AZ28" i="34"/>
  <c r="AJ28" i="34"/>
  <c r="AH28" i="34"/>
  <c r="BU27" i="34"/>
  <c r="BS27" i="34"/>
  <c r="BB27" i="34"/>
  <c r="AZ27" i="34"/>
  <c r="AJ27" i="34"/>
  <c r="AH27" i="34"/>
  <c r="BU26" i="34"/>
  <c r="BS26" i="34"/>
  <c r="BB26" i="34"/>
  <c r="AZ26" i="34"/>
  <c r="AJ26" i="34"/>
  <c r="AH26" i="34"/>
  <c r="BU25" i="34"/>
  <c r="BS25" i="34"/>
  <c r="BB25" i="34"/>
  <c r="AZ25" i="34"/>
  <c r="AJ25" i="34"/>
  <c r="AH25" i="34"/>
  <c r="BU24" i="34"/>
  <c r="BS24" i="34"/>
  <c r="BB24" i="34"/>
  <c r="AZ24" i="34"/>
  <c r="AJ24" i="34"/>
  <c r="AH24" i="34"/>
  <c r="AH48" i="34" s="1"/>
  <c r="BU23" i="34"/>
  <c r="BS23" i="34"/>
  <c r="BB23" i="34"/>
  <c r="AZ23" i="34"/>
  <c r="AJ23" i="34"/>
  <c r="AH23" i="34"/>
  <c r="BQ18" i="34"/>
  <c r="BN18" i="34"/>
  <c r="BL18" i="34"/>
  <c r="AX18" i="34"/>
  <c r="AU18" i="34"/>
  <c r="AS18" i="34"/>
  <c r="AF18" i="34"/>
  <c r="AC18" i="34"/>
  <c r="AA18" i="34"/>
  <c r="BS16" i="34"/>
  <c r="BQ16" i="34"/>
  <c r="BN16" i="34"/>
  <c r="BL16" i="34"/>
  <c r="AZ16" i="34"/>
  <c r="AX16" i="34"/>
  <c r="AU16" i="34"/>
  <c r="AS16" i="34"/>
  <c r="AH16" i="34"/>
  <c r="AF16" i="34"/>
  <c r="AC16" i="34"/>
  <c r="AA16" i="34"/>
  <c r="BG14" i="34"/>
  <c r="AN14" i="34"/>
  <c r="V14" i="34"/>
  <c r="BT12" i="34"/>
  <c r="BG12" i="34"/>
  <c r="BA12" i="34"/>
  <c r="AN12" i="34"/>
  <c r="AI12" i="34"/>
  <c r="V12" i="34"/>
  <c r="BT11" i="34"/>
  <c r="BA11" i="34"/>
  <c r="AI11" i="34"/>
  <c r="BG8" i="34"/>
  <c r="AN8" i="34"/>
  <c r="V8" i="34"/>
  <c r="BT6" i="34"/>
  <c r="BG6" i="34"/>
  <c r="BA6" i="34"/>
  <c r="AN6" i="34"/>
  <c r="AI6" i="34"/>
  <c r="V6" i="34"/>
  <c r="BT5" i="34"/>
  <c r="BA5" i="34"/>
  <c r="AI5" i="34"/>
  <c r="BU3" i="34"/>
  <c r="BB3" i="34"/>
  <c r="AJ3" i="34"/>
  <c r="G59" i="33"/>
  <c r="BK59" i="33" s="1"/>
  <c r="O48" i="33"/>
  <c r="BS46" i="33"/>
  <c r="BQ46" i="33"/>
  <c r="BI46" i="33"/>
  <c r="AZ46" i="33"/>
  <c r="AX46" i="33"/>
  <c r="AP46" i="33"/>
  <c r="AH46" i="33"/>
  <c r="AF46" i="33"/>
  <c r="X46" i="33"/>
  <c r="Q46" i="33"/>
  <c r="BU46" i="33" s="1"/>
  <c r="BS45" i="33"/>
  <c r="BQ45" i="33"/>
  <c r="AZ45" i="33"/>
  <c r="AX45" i="33"/>
  <c r="AH45" i="33"/>
  <c r="AF45" i="33"/>
  <c r="Q45" i="33"/>
  <c r="BB45" i="33" s="1"/>
  <c r="BU44" i="33"/>
  <c r="BS44" i="33"/>
  <c r="BB44" i="33"/>
  <c r="AZ44" i="33"/>
  <c r="AJ44" i="33"/>
  <c r="AH44" i="33"/>
  <c r="BU43" i="33"/>
  <c r="BS43" i="33"/>
  <c r="BB43" i="33"/>
  <c r="AZ43" i="33"/>
  <c r="AJ43" i="33"/>
  <c r="AH43" i="33"/>
  <c r="BU42" i="33"/>
  <c r="BS42" i="33"/>
  <c r="BB42" i="33"/>
  <c r="AZ42" i="33"/>
  <c r="AJ42" i="33"/>
  <c r="AH42" i="33"/>
  <c r="BU41" i="33"/>
  <c r="BS41" i="33"/>
  <c r="BB41" i="33"/>
  <c r="AZ41" i="33"/>
  <c r="AJ41" i="33"/>
  <c r="AH41" i="33"/>
  <c r="BU40" i="33"/>
  <c r="BS40" i="33"/>
  <c r="BB40" i="33"/>
  <c r="AZ40" i="33"/>
  <c r="AJ40" i="33"/>
  <c r="AH40" i="33"/>
  <c r="BU39" i="33"/>
  <c r="BS39" i="33"/>
  <c r="BB39" i="33"/>
  <c r="AZ39" i="33"/>
  <c r="AJ39" i="33"/>
  <c r="AH39" i="33"/>
  <c r="BU38" i="33"/>
  <c r="BS38" i="33"/>
  <c r="BB38" i="33"/>
  <c r="AZ38" i="33"/>
  <c r="AJ38" i="33"/>
  <c r="AH38" i="33"/>
  <c r="BU37" i="33"/>
  <c r="BS37" i="33"/>
  <c r="BB37" i="33"/>
  <c r="AZ37" i="33"/>
  <c r="AJ37" i="33"/>
  <c r="AH37" i="33"/>
  <c r="BU36" i="33"/>
  <c r="BS36" i="33"/>
  <c r="BB36" i="33"/>
  <c r="AZ36" i="33"/>
  <c r="AJ36" i="33"/>
  <c r="AH36" i="33"/>
  <c r="BU35" i="33"/>
  <c r="BS35" i="33"/>
  <c r="BB35" i="33"/>
  <c r="AZ35" i="33"/>
  <c r="AJ35" i="33"/>
  <c r="AH35" i="33"/>
  <c r="BU34" i="33"/>
  <c r="BS34" i="33"/>
  <c r="BB34" i="33"/>
  <c r="AZ34" i="33"/>
  <c r="AJ34" i="33"/>
  <c r="AH34" i="33"/>
  <c r="BU33" i="33"/>
  <c r="BS33" i="33"/>
  <c r="BB33" i="33"/>
  <c r="AZ33" i="33"/>
  <c r="AJ33" i="33"/>
  <c r="AH33" i="33"/>
  <c r="BU32" i="33"/>
  <c r="BS32" i="33"/>
  <c r="BB32" i="33"/>
  <c r="AZ32" i="33"/>
  <c r="AJ32" i="33"/>
  <c r="AH32" i="33"/>
  <c r="BU31" i="33"/>
  <c r="BS31" i="33"/>
  <c r="BB31" i="33"/>
  <c r="AZ31" i="33"/>
  <c r="AJ31" i="33"/>
  <c r="AH31" i="33"/>
  <c r="BU30" i="33"/>
  <c r="BS30" i="33"/>
  <c r="BB30" i="33"/>
  <c r="AZ30" i="33"/>
  <c r="AJ30" i="33"/>
  <c r="AH30" i="33"/>
  <c r="BU29" i="33"/>
  <c r="BS29" i="33"/>
  <c r="BB29" i="33"/>
  <c r="AZ29" i="33"/>
  <c r="AJ29" i="33"/>
  <c r="AH29" i="33"/>
  <c r="BU28" i="33"/>
  <c r="BS28" i="33"/>
  <c r="BB28" i="33"/>
  <c r="AZ28" i="33"/>
  <c r="AJ28" i="33"/>
  <c r="AH28" i="33"/>
  <c r="BU27" i="33"/>
  <c r="BS27" i="33"/>
  <c r="BB27" i="33"/>
  <c r="AZ27" i="33"/>
  <c r="AJ27" i="33"/>
  <c r="AH27" i="33"/>
  <c r="BU26" i="33"/>
  <c r="BS26" i="33"/>
  <c r="BB26" i="33"/>
  <c r="AZ26" i="33"/>
  <c r="AJ26" i="33"/>
  <c r="AH26" i="33"/>
  <c r="BU25" i="33"/>
  <c r="BS25" i="33"/>
  <c r="BB25" i="33"/>
  <c r="AZ25" i="33"/>
  <c r="AJ25" i="33"/>
  <c r="AH25" i="33"/>
  <c r="BU24" i="33"/>
  <c r="BS24" i="33"/>
  <c r="BB24" i="33"/>
  <c r="AZ24" i="33"/>
  <c r="AJ24" i="33"/>
  <c r="AH24" i="33"/>
  <c r="AH48" i="33" s="1"/>
  <c r="BU23" i="33"/>
  <c r="BS23" i="33"/>
  <c r="BB23" i="33"/>
  <c r="AZ23" i="33"/>
  <c r="AJ23" i="33"/>
  <c r="AH23" i="33"/>
  <c r="BQ18" i="33"/>
  <c r="BN18" i="33"/>
  <c r="BL18" i="33"/>
  <c r="AX18" i="33"/>
  <c r="AU18" i="33"/>
  <c r="AS18" i="33"/>
  <c r="AF18" i="33"/>
  <c r="AC18" i="33"/>
  <c r="AA18" i="33"/>
  <c r="BS16" i="33"/>
  <c r="BQ16" i="33"/>
  <c r="BN16" i="33"/>
  <c r="BL16" i="33"/>
  <c r="AZ16" i="33"/>
  <c r="AX16" i="33"/>
  <c r="AU16" i="33"/>
  <c r="AS16" i="33"/>
  <c r="AH16" i="33"/>
  <c r="AF16" i="33"/>
  <c r="AC16" i="33"/>
  <c r="AA16" i="33"/>
  <c r="BG14" i="33"/>
  <c r="AN14" i="33"/>
  <c r="V14" i="33"/>
  <c r="BT12" i="33"/>
  <c r="BG12" i="33"/>
  <c r="BA12" i="33"/>
  <c r="AN12" i="33"/>
  <c r="AI12" i="33"/>
  <c r="V12" i="33"/>
  <c r="BT11" i="33"/>
  <c r="BA11" i="33"/>
  <c r="AI11" i="33"/>
  <c r="BG8" i="33"/>
  <c r="AN8" i="33"/>
  <c r="V8" i="33"/>
  <c r="BT6" i="33"/>
  <c r="BG6" i="33"/>
  <c r="BA6" i="33"/>
  <c r="AN6" i="33"/>
  <c r="AI6" i="33"/>
  <c r="V6" i="33"/>
  <c r="BT5" i="33"/>
  <c r="BA5" i="33"/>
  <c r="AI5" i="33"/>
  <c r="BU3" i="33"/>
  <c r="BB3" i="33"/>
  <c r="AJ3" i="33"/>
  <c r="G59" i="32"/>
  <c r="BK59" i="32" s="1"/>
  <c r="O48" i="32"/>
  <c r="BS46" i="32"/>
  <c r="BQ46" i="32"/>
  <c r="BI46" i="32"/>
  <c r="AZ46" i="32"/>
  <c r="AX46" i="32"/>
  <c r="AP46" i="32"/>
  <c r="AH46" i="32"/>
  <c r="AF46" i="32"/>
  <c r="X46" i="32"/>
  <c r="Q46" i="32"/>
  <c r="BU46" i="32" s="1"/>
  <c r="BS45" i="32"/>
  <c r="BQ45" i="32"/>
  <c r="AZ45" i="32"/>
  <c r="AX45" i="32"/>
  <c r="AJ45" i="32"/>
  <c r="AH45" i="32"/>
  <c r="AF45" i="32"/>
  <c r="Q45" i="32"/>
  <c r="BB45" i="32" s="1"/>
  <c r="BU44" i="32"/>
  <c r="BS44" i="32"/>
  <c r="BB44" i="32"/>
  <c r="AZ44" i="32"/>
  <c r="AJ44" i="32"/>
  <c r="AH44" i="32"/>
  <c r="BU43" i="32"/>
  <c r="BS43" i="32"/>
  <c r="BB43" i="32"/>
  <c r="AZ43" i="32"/>
  <c r="AJ43" i="32"/>
  <c r="AH43" i="32"/>
  <c r="BU42" i="32"/>
  <c r="BS42" i="32"/>
  <c r="BB42" i="32"/>
  <c r="AZ42" i="32"/>
  <c r="AJ42" i="32"/>
  <c r="AH42" i="32"/>
  <c r="BU41" i="32"/>
  <c r="BS41" i="32"/>
  <c r="BB41" i="32"/>
  <c r="AZ41" i="32"/>
  <c r="AJ41" i="32"/>
  <c r="AH41" i="32"/>
  <c r="BU40" i="32"/>
  <c r="BS40" i="32"/>
  <c r="BB40" i="32"/>
  <c r="AZ40" i="32"/>
  <c r="AJ40" i="32"/>
  <c r="AH40" i="32"/>
  <c r="BU39" i="32"/>
  <c r="BS39" i="32"/>
  <c r="BB39" i="32"/>
  <c r="AZ39" i="32"/>
  <c r="AJ39" i="32"/>
  <c r="AH39" i="32"/>
  <c r="BU38" i="32"/>
  <c r="BS38" i="32"/>
  <c r="BB38" i="32"/>
  <c r="AZ38" i="32"/>
  <c r="AJ38" i="32"/>
  <c r="AH38" i="32"/>
  <c r="BU37" i="32"/>
  <c r="BS37" i="32"/>
  <c r="BB37" i="32"/>
  <c r="AZ37" i="32"/>
  <c r="AJ37" i="32"/>
  <c r="AH37" i="32"/>
  <c r="BU36" i="32"/>
  <c r="BS36" i="32"/>
  <c r="BB36" i="32"/>
  <c r="AZ36" i="32"/>
  <c r="AJ36" i="32"/>
  <c r="AH36" i="32"/>
  <c r="BU35" i="32"/>
  <c r="BS35" i="32"/>
  <c r="BB35" i="32"/>
  <c r="AZ35" i="32"/>
  <c r="AJ35" i="32"/>
  <c r="AH35" i="32"/>
  <c r="BU34" i="32"/>
  <c r="BS34" i="32"/>
  <c r="BB34" i="32"/>
  <c r="AZ34" i="32"/>
  <c r="AJ34" i="32"/>
  <c r="AH34" i="32"/>
  <c r="BU33" i="32"/>
  <c r="BS33" i="32"/>
  <c r="BB33" i="32"/>
  <c r="AZ33" i="32"/>
  <c r="AJ33" i="32"/>
  <c r="AH33" i="32"/>
  <c r="BU32" i="32"/>
  <c r="BS32" i="32"/>
  <c r="BB32" i="32"/>
  <c r="AZ32" i="32"/>
  <c r="AJ32" i="32"/>
  <c r="AH32" i="32"/>
  <c r="BU31" i="32"/>
  <c r="BS31" i="32"/>
  <c r="BB31" i="32"/>
  <c r="AZ31" i="32"/>
  <c r="AJ31" i="32"/>
  <c r="AH31" i="32"/>
  <c r="BU30" i="32"/>
  <c r="BS30" i="32"/>
  <c r="BB30" i="32"/>
  <c r="AZ30" i="32"/>
  <c r="AJ30" i="32"/>
  <c r="AH30" i="32"/>
  <c r="BU29" i="32"/>
  <c r="BS29" i="32"/>
  <c r="BB29" i="32"/>
  <c r="AZ29" i="32"/>
  <c r="AJ29" i="32"/>
  <c r="AH29" i="32"/>
  <c r="BU28" i="32"/>
  <c r="BS28" i="32"/>
  <c r="BB28" i="32"/>
  <c r="AZ28" i="32"/>
  <c r="AJ28" i="32"/>
  <c r="AH28" i="32"/>
  <c r="BU27" i="32"/>
  <c r="BS27" i="32"/>
  <c r="BB27" i="32"/>
  <c r="AZ27" i="32"/>
  <c r="AJ27" i="32"/>
  <c r="AH27" i="32"/>
  <c r="BU26" i="32"/>
  <c r="BS26" i="32"/>
  <c r="BB26" i="32"/>
  <c r="AZ26" i="32"/>
  <c r="AJ26" i="32"/>
  <c r="AH26" i="32"/>
  <c r="BU25" i="32"/>
  <c r="BS25" i="32"/>
  <c r="BB25" i="32"/>
  <c r="AZ25" i="32"/>
  <c r="AJ25" i="32"/>
  <c r="AH25" i="32"/>
  <c r="BU24" i="32"/>
  <c r="BS24" i="32"/>
  <c r="BB24" i="32"/>
  <c r="AZ24" i="32"/>
  <c r="AZ48" i="32" s="1"/>
  <c r="AJ24" i="32"/>
  <c r="AH24" i="32"/>
  <c r="BU23" i="32"/>
  <c r="BS23" i="32"/>
  <c r="BS48" i="32" s="1"/>
  <c r="BB23" i="32"/>
  <c r="AZ23" i="32"/>
  <c r="AJ23" i="32"/>
  <c r="AH23" i="32"/>
  <c r="AH48" i="32" s="1"/>
  <c r="BQ18" i="32"/>
  <c r="BN18" i="32"/>
  <c r="BL18" i="32"/>
  <c r="AX18" i="32"/>
  <c r="AU18" i="32"/>
  <c r="AS18" i="32"/>
  <c r="AF18" i="32"/>
  <c r="AC18" i="32"/>
  <c r="AA18" i="32"/>
  <c r="BS16" i="32"/>
  <c r="BQ16" i="32"/>
  <c r="BN16" i="32"/>
  <c r="BL16" i="32"/>
  <c r="AZ16" i="32"/>
  <c r="AX16" i="32"/>
  <c r="AU16" i="32"/>
  <c r="AS16" i="32"/>
  <c r="AH16" i="32"/>
  <c r="AF16" i="32"/>
  <c r="AC16" i="32"/>
  <c r="AA16" i="32"/>
  <c r="BG14" i="32"/>
  <c r="AN14" i="32"/>
  <c r="V14" i="32"/>
  <c r="BT12" i="32"/>
  <c r="BG12" i="32"/>
  <c r="BA12" i="32"/>
  <c r="AN12" i="32"/>
  <c r="AI12" i="32"/>
  <c r="V12" i="32"/>
  <c r="BT11" i="32"/>
  <c r="BA11" i="32"/>
  <c r="AI11" i="32"/>
  <c r="BG8" i="32"/>
  <c r="AN8" i="32"/>
  <c r="V8" i="32"/>
  <c r="BT6" i="32"/>
  <c r="BG6" i="32"/>
  <c r="BA6" i="32"/>
  <c r="AN6" i="32"/>
  <c r="AI6" i="32"/>
  <c r="V6" i="32"/>
  <c r="BT5" i="32"/>
  <c r="BA5" i="32"/>
  <c r="AI5" i="32"/>
  <c r="BU3" i="32"/>
  <c r="BB3" i="32"/>
  <c r="AJ3" i="32"/>
  <c r="G59" i="31"/>
  <c r="BK59" i="31" s="1"/>
  <c r="O48" i="31"/>
  <c r="BS46" i="31"/>
  <c r="BQ46" i="31"/>
  <c r="BI46" i="31"/>
  <c r="AZ46" i="31"/>
  <c r="AX46" i="31"/>
  <c r="AP46" i="31"/>
  <c r="AH46" i="31"/>
  <c r="AF46" i="31"/>
  <c r="X46" i="31"/>
  <c r="Q46" i="31"/>
  <c r="BU46" i="31" s="1"/>
  <c r="BS45" i="31"/>
  <c r="BQ45" i="31"/>
  <c r="AZ45" i="31"/>
  <c r="AX45" i="31"/>
  <c r="AJ45" i="31"/>
  <c r="AH45" i="31"/>
  <c r="AF45" i="31"/>
  <c r="Q45" i="31"/>
  <c r="BB45" i="31" s="1"/>
  <c r="BU44" i="31"/>
  <c r="BS44" i="31"/>
  <c r="BB44" i="31"/>
  <c r="AZ44" i="31"/>
  <c r="AJ44" i="31"/>
  <c r="AH44" i="31"/>
  <c r="BU43" i="31"/>
  <c r="BS43" i="31"/>
  <c r="BB43" i="31"/>
  <c r="AZ43" i="31"/>
  <c r="AJ43" i="31"/>
  <c r="AH43" i="31"/>
  <c r="BU42" i="31"/>
  <c r="BS42" i="31"/>
  <c r="BB42" i="31"/>
  <c r="AZ42" i="31"/>
  <c r="AJ42" i="31"/>
  <c r="AH42" i="31"/>
  <c r="BU41" i="31"/>
  <c r="BS41" i="31"/>
  <c r="BB41" i="31"/>
  <c r="AZ41" i="31"/>
  <c r="AJ41" i="31"/>
  <c r="AH41" i="31"/>
  <c r="BU40" i="31"/>
  <c r="BS40" i="31"/>
  <c r="BB40" i="31"/>
  <c r="AZ40" i="31"/>
  <c r="AJ40" i="31"/>
  <c r="AH40" i="31"/>
  <c r="BU39" i="31"/>
  <c r="BS39" i="31"/>
  <c r="BB39" i="31"/>
  <c r="AZ39" i="31"/>
  <c r="AJ39" i="31"/>
  <c r="AH39" i="31"/>
  <c r="BU38" i="31"/>
  <c r="BS38" i="31"/>
  <c r="BB38" i="31"/>
  <c r="AZ38" i="31"/>
  <c r="AJ38" i="31"/>
  <c r="AH38" i="31"/>
  <c r="BU37" i="31"/>
  <c r="BS37" i="31"/>
  <c r="BB37" i="31"/>
  <c r="AZ37" i="31"/>
  <c r="AJ37" i="31"/>
  <c r="AH37" i="31"/>
  <c r="BU36" i="31"/>
  <c r="BS36" i="31"/>
  <c r="BB36" i="31"/>
  <c r="AZ36" i="31"/>
  <c r="AJ36" i="31"/>
  <c r="AH36" i="31"/>
  <c r="BU35" i="31"/>
  <c r="BS35" i="31"/>
  <c r="BB35" i="31"/>
  <c r="AZ35" i="31"/>
  <c r="AJ35" i="31"/>
  <c r="AH35" i="31"/>
  <c r="BU34" i="31"/>
  <c r="BS34" i="31"/>
  <c r="BB34" i="31"/>
  <c r="AZ34" i="31"/>
  <c r="AJ34" i="31"/>
  <c r="AH34" i="31"/>
  <c r="BU33" i="31"/>
  <c r="BS33" i="31"/>
  <c r="BB33" i="31"/>
  <c r="AZ33" i="31"/>
  <c r="AJ33" i="31"/>
  <c r="AH33" i="31"/>
  <c r="BU32" i="31"/>
  <c r="BS32" i="31"/>
  <c r="BB32" i="31"/>
  <c r="AZ32" i="31"/>
  <c r="AJ32" i="31"/>
  <c r="AH32" i="31"/>
  <c r="BU31" i="31"/>
  <c r="BS31" i="31"/>
  <c r="BB31" i="31"/>
  <c r="AZ31" i="31"/>
  <c r="AJ31" i="31"/>
  <c r="AH31" i="31"/>
  <c r="BU30" i="31"/>
  <c r="BS30" i="31"/>
  <c r="BB30" i="31"/>
  <c r="AZ30" i="31"/>
  <c r="AJ30" i="31"/>
  <c r="AH30" i="31"/>
  <c r="BU29" i="31"/>
  <c r="BS29" i="31"/>
  <c r="BB29" i="31"/>
  <c r="AZ29" i="31"/>
  <c r="AJ29" i="31"/>
  <c r="AH29" i="31"/>
  <c r="BU28" i="31"/>
  <c r="BS28" i="31"/>
  <c r="BB28" i="31"/>
  <c r="AZ28" i="31"/>
  <c r="AJ28" i="31"/>
  <c r="AH28" i="31"/>
  <c r="BU27" i="31"/>
  <c r="BS27" i="31"/>
  <c r="BB27" i="31"/>
  <c r="AZ27" i="31"/>
  <c r="AJ27" i="31"/>
  <c r="AH27" i="31"/>
  <c r="BU26" i="31"/>
  <c r="BS26" i="31"/>
  <c r="BB26" i="31"/>
  <c r="AZ26" i="31"/>
  <c r="AJ26" i="31"/>
  <c r="AH26" i="31"/>
  <c r="BU25" i="31"/>
  <c r="BS25" i="31"/>
  <c r="BB25" i="31"/>
  <c r="AZ25" i="31"/>
  <c r="AJ25" i="31"/>
  <c r="AH25" i="31"/>
  <c r="BU24" i="31"/>
  <c r="BS24" i="31"/>
  <c r="BB24" i="31"/>
  <c r="AZ24" i="31"/>
  <c r="AZ48" i="31" s="1"/>
  <c r="AJ24" i="31"/>
  <c r="AH24" i="31"/>
  <c r="BU23" i="31"/>
  <c r="BS23" i="31"/>
  <c r="BS48" i="31" s="1"/>
  <c r="BB23" i="31"/>
  <c r="AZ23" i="31"/>
  <c r="AJ23" i="31"/>
  <c r="AH23" i="31"/>
  <c r="AH48" i="31" s="1"/>
  <c r="BQ18" i="31"/>
  <c r="BN18" i="31"/>
  <c r="BL18" i="31"/>
  <c r="AX18" i="31"/>
  <c r="AU18" i="31"/>
  <c r="AS18" i="31"/>
  <c r="AF18" i="31"/>
  <c r="AC18" i="31"/>
  <c r="AA18" i="31"/>
  <c r="BS16" i="31"/>
  <c r="BQ16" i="31"/>
  <c r="BN16" i="31"/>
  <c r="BL16" i="31"/>
  <c r="AZ16" i="31"/>
  <c r="AX16" i="31"/>
  <c r="AU16" i="31"/>
  <c r="AS16" i="31"/>
  <c r="AH16" i="31"/>
  <c r="AF16" i="31"/>
  <c r="AC16" i="31"/>
  <c r="AA16" i="31"/>
  <c r="BG14" i="31"/>
  <c r="AN14" i="31"/>
  <c r="V14" i="31"/>
  <c r="BT12" i="31"/>
  <c r="BG12" i="31"/>
  <c r="BA12" i="31"/>
  <c r="AN12" i="31"/>
  <c r="AI12" i="31"/>
  <c r="V12" i="31"/>
  <c r="BT11" i="31"/>
  <c r="BA11" i="31"/>
  <c r="AI11" i="31"/>
  <c r="BG8" i="31"/>
  <c r="AN8" i="31"/>
  <c r="V8" i="31"/>
  <c r="BT6" i="31"/>
  <c r="BG6" i="31"/>
  <c r="BA6" i="31"/>
  <c r="AN6" i="31"/>
  <c r="AI6" i="31"/>
  <c r="V6" i="31"/>
  <c r="BT5" i="31"/>
  <c r="BA5" i="31"/>
  <c r="AI5" i="31"/>
  <c r="BU3" i="31"/>
  <c r="BB3" i="31"/>
  <c r="AJ3" i="31"/>
  <c r="G59" i="30"/>
  <c r="AR59" i="30" s="1"/>
  <c r="O48" i="30"/>
  <c r="BS46" i="30"/>
  <c r="BQ46" i="30"/>
  <c r="BI46" i="30"/>
  <c r="AZ46" i="30"/>
  <c r="AX46" i="30"/>
  <c r="AP46" i="30"/>
  <c r="AH46" i="30"/>
  <c r="AF46" i="30"/>
  <c r="X46" i="30"/>
  <c r="Q46" i="30"/>
  <c r="BU46" i="30" s="1"/>
  <c r="BS45" i="30"/>
  <c r="BQ45" i="30"/>
  <c r="AZ45" i="30"/>
  <c r="AX45" i="30"/>
  <c r="AH45" i="30"/>
  <c r="AF45" i="30"/>
  <c r="Q45" i="30"/>
  <c r="BU45" i="30" s="1"/>
  <c r="BU44" i="30"/>
  <c r="BS44" i="30"/>
  <c r="BB44" i="30"/>
  <c r="AZ44" i="30"/>
  <c r="AJ44" i="30"/>
  <c r="AH44" i="30"/>
  <c r="BU43" i="30"/>
  <c r="BS43" i="30"/>
  <c r="BB43" i="30"/>
  <c r="AZ43" i="30"/>
  <c r="AJ43" i="30"/>
  <c r="AH43" i="30"/>
  <c r="BU42" i="30"/>
  <c r="BS42" i="30"/>
  <c r="BB42" i="30"/>
  <c r="AZ42" i="30"/>
  <c r="AJ42" i="30"/>
  <c r="AH42" i="30"/>
  <c r="BU41" i="30"/>
  <c r="BS41" i="30"/>
  <c r="BB41" i="30"/>
  <c r="AZ41" i="30"/>
  <c r="AJ41" i="30"/>
  <c r="AH41" i="30"/>
  <c r="BU40" i="30"/>
  <c r="BS40" i="30"/>
  <c r="BB40" i="30"/>
  <c r="AZ40" i="30"/>
  <c r="AJ40" i="30"/>
  <c r="AH40" i="30"/>
  <c r="BU39" i="30"/>
  <c r="BS39" i="30"/>
  <c r="BB39" i="30"/>
  <c r="AZ39" i="30"/>
  <c r="AJ39" i="30"/>
  <c r="AH39" i="30"/>
  <c r="BU38" i="30"/>
  <c r="BS38" i="30"/>
  <c r="BB38" i="30"/>
  <c r="AZ38" i="30"/>
  <c r="AJ38" i="30"/>
  <c r="AH38" i="30"/>
  <c r="BU37" i="30"/>
  <c r="BS37" i="30"/>
  <c r="BB37" i="30"/>
  <c r="AZ37" i="30"/>
  <c r="AJ37" i="30"/>
  <c r="AH37" i="30"/>
  <c r="BU36" i="30"/>
  <c r="BS36" i="30"/>
  <c r="BB36" i="30"/>
  <c r="AZ36" i="30"/>
  <c r="AJ36" i="30"/>
  <c r="AH36" i="30"/>
  <c r="BU35" i="30"/>
  <c r="BS35" i="30"/>
  <c r="BB35" i="30"/>
  <c r="AZ35" i="30"/>
  <c r="AJ35" i="30"/>
  <c r="AH35" i="30"/>
  <c r="BU34" i="30"/>
  <c r="BS34" i="30"/>
  <c r="BB34" i="30"/>
  <c r="AZ34" i="30"/>
  <c r="AJ34" i="30"/>
  <c r="AH34" i="30"/>
  <c r="BU33" i="30"/>
  <c r="BS33" i="30"/>
  <c r="BB33" i="30"/>
  <c r="AZ33" i="30"/>
  <c r="AJ33" i="30"/>
  <c r="AH33" i="30"/>
  <c r="BU32" i="30"/>
  <c r="BS32" i="30"/>
  <c r="BB32" i="30"/>
  <c r="AZ32" i="30"/>
  <c r="AJ32" i="30"/>
  <c r="AH32" i="30"/>
  <c r="BU31" i="30"/>
  <c r="BS31" i="30"/>
  <c r="BB31" i="30"/>
  <c r="AZ31" i="30"/>
  <c r="AJ31" i="30"/>
  <c r="AH31" i="30"/>
  <c r="BU30" i="30"/>
  <c r="BS30" i="30"/>
  <c r="BB30" i="30"/>
  <c r="AZ30" i="30"/>
  <c r="AJ30" i="30"/>
  <c r="AH30" i="30"/>
  <c r="BU29" i="30"/>
  <c r="BS29" i="30"/>
  <c r="BB29" i="30"/>
  <c r="AZ29" i="30"/>
  <c r="AJ29" i="30"/>
  <c r="AH29" i="30"/>
  <c r="BU28" i="30"/>
  <c r="BS28" i="30"/>
  <c r="BB28" i="30"/>
  <c r="AZ28" i="30"/>
  <c r="AJ28" i="30"/>
  <c r="AH28" i="30"/>
  <c r="BU27" i="30"/>
  <c r="BS27" i="30"/>
  <c r="BB27" i="30"/>
  <c r="AZ27" i="30"/>
  <c r="AJ27" i="30"/>
  <c r="AH27" i="30"/>
  <c r="BU26" i="30"/>
  <c r="BS26" i="30"/>
  <c r="BB26" i="30"/>
  <c r="AZ26" i="30"/>
  <c r="AJ26" i="30"/>
  <c r="AH26" i="30"/>
  <c r="BU25" i="30"/>
  <c r="BS25" i="30"/>
  <c r="BB25" i="30"/>
  <c r="AZ25" i="30"/>
  <c r="AJ25" i="30"/>
  <c r="AH25" i="30"/>
  <c r="BU24" i="30"/>
  <c r="BS24" i="30"/>
  <c r="BB24" i="30"/>
  <c r="AZ24" i="30"/>
  <c r="AJ24" i="30"/>
  <c r="AH24" i="30"/>
  <c r="BU23" i="30"/>
  <c r="BS23" i="30"/>
  <c r="BS48" i="30" s="1"/>
  <c r="BB23" i="30"/>
  <c r="AZ23" i="30"/>
  <c r="AZ48" i="30" s="1"/>
  <c r="AJ23" i="30"/>
  <c r="AH23" i="30"/>
  <c r="AH48" i="30" s="1"/>
  <c r="BQ18" i="30"/>
  <c r="BN18" i="30"/>
  <c r="BL18" i="30"/>
  <c r="AX18" i="30"/>
  <c r="AU18" i="30"/>
  <c r="AS18" i="30"/>
  <c r="AF18" i="30"/>
  <c r="AC18" i="30"/>
  <c r="AA18" i="30"/>
  <c r="BS16" i="30"/>
  <c r="BQ16" i="30"/>
  <c r="BN16" i="30"/>
  <c r="BL16" i="30"/>
  <c r="AZ16" i="30"/>
  <c r="AX16" i="30"/>
  <c r="AU16" i="30"/>
  <c r="AS16" i="30"/>
  <c r="AH16" i="30"/>
  <c r="AF16" i="30"/>
  <c r="AC16" i="30"/>
  <c r="AA16" i="30"/>
  <c r="BG14" i="30"/>
  <c r="AN14" i="30"/>
  <c r="V14" i="30"/>
  <c r="BT12" i="30"/>
  <c r="BG12" i="30"/>
  <c r="BA12" i="30"/>
  <c r="AN12" i="30"/>
  <c r="AI12" i="30"/>
  <c r="V12" i="30"/>
  <c r="BT11" i="30"/>
  <c r="BA11" i="30"/>
  <c r="AI11" i="30"/>
  <c r="BG8" i="30"/>
  <c r="AN8" i="30"/>
  <c r="V8" i="30"/>
  <c r="BT6" i="30"/>
  <c r="BG6" i="30"/>
  <c r="BA6" i="30"/>
  <c r="AN6" i="30"/>
  <c r="AI6" i="30"/>
  <c r="V6" i="30"/>
  <c r="BT5" i="30"/>
  <c r="BA5" i="30"/>
  <c r="AI5" i="30"/>
  <c r="BU3" i="30"/>
  <c r="BB3" i="30"/>
  <c r="AJ3" i="30"/>
  <c r="G59" i="29"/>
  <c r="BK59" i="29" s="1"/>
  <c r="O48" i="29"/>
  <c r="BS46" i="29"/>
  <c r="BQ46" i="29"/>
  <c r="BI46" i="29"/>
  <c r="AZ46" i="29"/>
  <c r="AX46" i="29"/>
  <c r="AP46" i="29"/>
  <c r="AH46" i="29"/>
  <c r="AF46" i="29"/>
  <c r="X46" i="29"/>
  <c r="Q46" i="29"/>
  <c r="BU46" i="29" s="1"/>
  <c r="BS45" i="29"/>
  <c r="BQ45" i="29"/>
  <c r="AZ45" i="29"/>
  <c r="AX45" i="29"/>
  <c r="AH45" i="29"/>
  <c r="AF45" i="29"/>
  <c r="Q45" i="29"/>
  <c r="BB45" i="29" s="1"/>
  <c r="BU44" i="29"/>
  <c r="BS44" i="29"/>
  <c r="BB44" i="29"/>
  <c r="AZ44" i="29"/>
  <c r="AJ44" i="29"/>
  <c r="AH44" i="29"/>
  <c r="BU43" i="29"/>
  <c r="BS43" i="29"/>
  <c r="BB43" i="29"/>
  <c r="AZ43" i="29"/>
  <c r="AJ43" i="29"/>
  <c r="AH43" i="29"/>
  <c r="BU42" i="29"/>
  <c r="BS42" i="29"/>
  <c r="BB42" i="29"/>
  <c r="AZ42" i="29"/>
  <c r="AJ42" i="29"/>
  <c r="AH42" i="29"/>
  <c r="BU41" i="29"/>
  <c r="BS41" i="29"/>
  <c r="BB41" i="29"/>
  <c r="AZ41" i="29"/>
  <c r="AJ41" i="29"/>
  <c r="AH41" i="29"/>
  <c r="BU40" i="29"/>
  <c r="BS40" i="29"/>
  <c r="BB40" i="29"/>
  <c r="AZ40" i="29"/>
  <c r="AJ40" i="29"/>
  <c r="AH40" i="29"/>
  <c r="BU39" i="29"/>
  <c r="BS39" i="29"/>
  <c r="BB39" i="29"/>
  <c r="AZ39" i="29"/>
  <c r="AJ39" i="29"/>
  <c r="AH39" i="29"/>
  <c r="BU38" i="29"/>
  <c r="BS38" i="29"/>
  <c r="BB38" i="29"/>
  <c r="AZ38" i="29"/>
  <c r="AJ38" i="29"/>
  <c r="AH38" i="29"/>
  <c r="BU37" i="29"/>
  <c r="BS37" i="29"/>
  <c r="BB37" i="29"/>
  <c r="AZ37" i="29"/>
  <c r="AJ37" i="29"/>
  <c r="AH37" i="29"/>
  <c r="BU36" i="29"/>
  <c r="BS36" i="29"/>
  <c r="BB36" i="29"/>
  <c r="AZ36" i="29"/>
  <c r="AJ36" i="29"/>
  <c r="AH36" i="29"/>
  <c r="BU35" i="29"/>
  <c r="BS35" i="29"/>
  <c r="BB35" i="29"/>
  <c r="AZ35" i="29"/>
  <c r="AJ35" i="29"/>
  <c r="AH35" i="29"/>
  <c r="BU34" i="29"/>
  <c r="BS34" i="29"/>
  <c r="BB34" i="29"/>
  <c r="AZ34" i="29"/>
  <c r="AJ34" i="29"/>
  <c r="AH34" i="29"/>
  <c r="BU33" i="29"/>
  <c r="BS33" i="29"/>
  <c r="BB33" i="29"/>
  <c r="AZ33" i="29"/>
  <c r="AJ33" i="29"/>
  <c r="AH33" i="29"/>
  <c r="BU32" i="29"/>
  <c r="BS32" i="29"/>
  <c r="BB32" i="29"/>
  <c r="AZ32" i="29"/>
  <c r="AJ32" i="29"/>
  <c r="AH32" i="29"/>
  <c r="BU31" i="29"/>
  <c r="BS31" i="29"/>
  <c r="BB31" i="29"/>
  <c r="AZ31" i="29"/>
  <c r="AJ31" i="29"/>
  <c r="AH31" i="29"/>
  <c r="BU30" i="29"/>
  <c r="BS30" i="29"/>
  <c r="BB30" i="29"/>
  <c r="AZ30" i="29"/>
  <c r="AJ30" i="29"/>
  <c r="AH30" i="29"/>
  <c r="BU29" i="29"/>
  <c r="BS29" i="29"/>
  <c r="BB29" i="29"/>
  <c r="AZ29" i="29"/>
  <c r="AJ29" i="29"/>
  <c r="AH29" i="29"/>
  <c r="BU28" i="29"/>
  <c r="BS28" i="29"/>
  <c r="BB28" i="29"/>
  <c r="AZ28" i="29"/>
  <c r="AJ28" i="29"/>
  <c r="AH28" i="29"/>
  <c r="BU27" i="29"/>
  <c r="BS27" i="29"/>
  <c r="BB27" i="29"/>
  <c r="AZ27" i="29"/>
  <c r="AJ27" i="29"/>
  <c r="AH27" i="29"/>
  <c r="BU26" i="29"/>
  <c r="BS26" i="29"/>
  <c r="BB26" i="29"/>
  <c r="AZ26" i="29"/>
  <c r="AJ26" i="29"/>
  <c r="AH26" i="29"/>
  <c r="BU25" i="29"/>
  <c r="BS25" i="29"/>
  <c r="BB25" i="29"/>
  <c r="AZ25" i="29"/>
  <c r="AJ25" i="29"/>
  <c r="AH25" i="29"/>
  <c r="BU24" i="29"/>
  <c r="BS24" i="29"/>
  <c r="BB24" i="29"/>
  <c r="AZ24" i="29"/>
  <c r="AJ24" i="29"/>
  <c r="AH24" i="29"/>
  <c r="BU23" i="29"/>
  <c r="BS23" i="29"/>
  <c r="BS48" i="29" s="1"/>
  <c r="BB23" i="29"/>
  <c r="AZ23" i="29"/>
  <c r="AZ48" i="29" s="1"/>
  <c r="AJ23" i="29"/>
  <c r="AH23" i="29"/>
  <c r="AH48" i="29" s="1"/>
  <c r="BQ18" i="29"/>
  <c r="BN18" i="29"/>
  <c r="BL18" i="29"/>
  <c r="AX18" i="29"/>
  <c r="AU18" i="29"/>
  <c r="AS18" i="29"/>
  <c r="AF18" i="29"/>
  <c r="AC18" i="29"/>
  <c r="AA18" i="29"/>
  <c r="BS16" i="29"/>
  <c r="BQ16" i="29"/>
  <c r="BN16" i="29"/>
  <c r="BL16" i="29"/>
  <c r="AZ16" i="29"/>
  <c r="AX16" i="29"/>
  <c r="AU16" i="29"/>
  <c r="AS16" i="29"/>
  <c r="AH16" i="29"/>
  <c r="AF16" i="29"/>
  <c r="AC16" i="29"/>
  <c r="AA16" i="29"/>
  <c r="BG14" i="29"/>
  <c r="AN14" i="29"/>
  <c r="V14" i="29"/>
  <c r="BT12" i="29"/>
  <c r="BG12" i="29"/>
  <c r="BA12" i="29"/>
  <c r="AN12" i="29"/>
  <c r="AI12" i="29"/>
  <c r="V12" i="29"/>
  <c r="BT11" i="29"/>
  <c r="BA11" i="29"/>
  <c r="AI11" i="29"/>
  <c r="BG8" i="29"/>
  <c r="AN8" i="29"/>
  <c r="V8" i="29"/>
  <c r="BT6" i="29"/>
  <c r="BG6" i="29"/>
  <c r="BA6" i="29"/>
  <c r="AN6" i="29"/>
  <c r="AI6" i="29"/>
  <c r="V6" i="29"/>
  <c r="BT5" i="29"/>
  <c r="BA5" i="29"/>
  <c r="AI5" i="29"/>
  <c r="BU3" i="29"/>
  <c r="BB3" i="29"/>
  <c r="AJ3" i="29"/>
  <c r="G59" i="28"/>
  <c r="BK59" i="28" s="1"/>
  <c r="O48" i="28"/>
  <c r="BS46" i="28"/>
  <c r="BQ46" i="28"/>
  <c r="BI46" i="28"/>
  <c r="AZ46" i="28"/>
  <c r="AX46" i="28"/>
  <c r="AP46" i="28"/>
  <c r="AH46" i="28"/>
  <c r="AF46" i="28"/>
  <c r="X46" i="28"/>
  <c r="Q46" i="28"/>
  <c r="BU46" i="28" s="1"/>
  <c r="BS45" i="28"/>
  <c r="BQ45" i="28"/>
  <c r="AZ45" i="28"/>
  <c r="AX45" i="28"/>
  <c r="AH45" i="28"/>
  <c r="AF45" i="28"/>
  <c r="Q45" i="28"/>
  <c r="BU45" i="28" s="1"/>
  <c r="BU44" i="28"/>
  <c r="BS44" i="28"/>
  <c r="BB44" i="28"/>
  <c r="AZ44" i="28"/>
  <c r="AJ44" i="28"/>
  <c r="AH44" i="28"/>
  <c r="BU43" i="28"/>
  <c r="BS43" i="28"/>
  <c r="BB43" i="28"/>
  <c r="AZ43" i="28"/>
  <c r="AJ43" i="28"/>
  <c r="AH43" i="28"/>
  <c r="BU42" i="28"/>
  <c r="BS42" i="28"/>
  <c r="BB42" i="28"/>
  <c r="AZ42" i="28"/>
  <c r="AJ42" i="28"/>
  <c r="AH42" i="28"/>
  <c r="BU41" i="28"/>
  <c r="BS41" i="28"/>
  <c r="BB41" i="28"/>
  <c r="AZ41" i="28"/>
  <c r="AJ41" i="28"/>
  <c r="AH41" i="28"/>
  <c r="BU40" i="28"/>
  <c r="BS40" i="28"/>
  <c r="BB40" i="28"/>
  <c r="AZ40" i="28"/>
  <c r="AJ40" i="28"/>
  <c r="AH40" i="28"/>
  <c r="BU39" i="28"/>
  <c r="BS39" i="28"/>
  <c r="BB39" i="28"/>
  <c r="AZ39" i="28"/>
  <c r="AJ39" i="28"/>
  <c r="AH39" i="28"/>
  <c r="BU38" i="28"/>
  <c r="BS38" i="28"/>
  <c r="BB38" i="28"/>
  <c r="AZ38" i="28"/>
  <c r="AJ38" i="28"/>
  <c r="AH38" i="28"/>
  <c r="BU37" i="28"/>
  <c r="BS37" i="28"/>
  <c r="BB37" i="28"/>
  <c r="AZ37" i="28"/>
  <c r="AJ37" i="28"/>
  <c r="AH37" i="28"/>
  <c r="BU36" i="28"/>
  <c r="BS36" i="28"/>
  <c r="BB36" i="28"/>
  <c r="AZ36" i="28"/>
  <c r="AJ36" i="28"/>
  <c r="AH36" i="28"/>
  <c r="BU35" i="28"/>
  <c r="BS35" i="28"/>
  <c r="BB35" i="28"/>
  <c r="AZ35" i="28"/>
  <c r="AJ35" i="28"/>
  <c r="AH35" i="28"/>
  <c r="BU34" i="28"/>
  <c r="BS34" i="28"/>
  <c r="BB34" i="28"/>
  <c r="AZ34" i="28"/>
  <c r="AJ34" i="28"/>
  <c r="AH34" i="28"/>
  <c r="BU33" i="28"/>
  <c r="BS33" i="28"/>
  <c r="BB33" i="28"/>
  <c r="AZ33" i="28"/>
  <c r="AJ33" i="28"/>
  <c r="AH33" i="28"/>
  <c r="BU32" i="28"/>
  <c r="BS32" i="28"/>
  <c r="BB32" i="28"/>
  <c r="AZ32" i="28"/>
  <c r="AJ32" i="28"/>
  <c r="AH32" i="28"/>
  <c r="BU31" i="28"/>
  <c r="BS31" i="28"/>
  <c r="BB31" i="28"/>
  <c r="AZ31" i="28"/>
  <c r="AJ31" i="28"/>
  <c r="AH31" i="28"/>
  <c r="BU30" i="28"/>
  <c r="BS30" i="28"/>
  <c r="BB30" i="28"/>
  <c r="AZ30" i="28"/>
  <c r="AJ30" i="28"/>
  <c r="AH30" i="28"/>
  <c r="BU29" i="28"/>
  <c r="BS29" i="28"/>
  <c r="BB29" i="28"/>
  <c r="AZ29" i="28"/>
  <c r="AJ29" i="28"/>
  <c r="AH29" i="28"/>
  <c r="BU28" i="28"/>
  <c r="BS28" i="28"/>
  <c r="BB28" i="28"/>
  <c r="AZ28" i="28"/>
  <c r="AJ28" i="28"/>
  <c r="AH28" i="28"/>
  <c r="BU27" i="28"/>
  <c r="BS27" i="28"/>
  <c r="BB27" i="28"/>
  <c r="AZ27" i="28"/>
  <c r="AJ27" i="28"/>
  <c r="AH27" i="28"/>
  <c r="BU26" i="28"/>
  <c r="BS26" i="28"/>
  <c r="BB26" i="28"/>
  <c r="AZ26" i="28"/>
  <c r="AJ26" i="28"/>
  <c r="AH26" i="28"/>
  <c r="BU25" i="28"/>
  <c r="BS25" i="28"/>
  <c r="BB25" i="28"/>
  <c r="AZ25" i="28"/>
  <c r="AJ25" i="28"/>
  <c r="AH25" i="28"/>
  <c r="BU24" i="28"/>
  <c r="BS24" i="28"/>
  <c r="BB24" i="28"/>
  <c r="AZ24" i="28"/>
  <c r="AJ24" i="28"/>
  <c r="AH24" i="28"/>
  <c r="BU23" i="28"/>
  <c r="BS23" i="28"/>
  <c r="BB23" i="28"/>
  <c r="AZ23" i="28"/>
  <c r="AJ23" i="28"/>
  <c r="AH23" i="28"/>
  <c r="AH48" i="28" s="1"/>
  <c r="BQ18" i="28"/>
  <c r="BN18" i="28"/>
  <c r="BL18" i="28"/>
  <c r="AX18" i="28"/>
  <c r="AU18" i="28"/>
  <c r="AS18" i="28"/>
  <c r="AF18" i="28"/>
  <c r="AC18" i="28"/>
  <c r="AA18" i="28"/>
  <c r="BS16" i="28"/>
  <c r="BQ16" i="28"/>
  <c r="BN16" i="28"/>
  <c r="BL16" i="28"/>
  <c r="AZ16" i="28"/>
  <c r="AX16" i="28"/>
  <c r="AU16" i="28"/>
  <c r="AS16" i="28"/>
  <c r="AH16" i="28"/>
  <c r="AF16" i="28"/>
  <c r="AC16" i="28"/>
  <c r="AA16" i="28"/>
  <c r="BG14" i="28"/>
  <c r="AN14" i="28"/>
  <c r="V14" i="28"/>
  <c r="BT12" i="28"/>
  <c r="BG12" i="28"/>
  <c r="BA12" i="28"/>
  <c r="AN12" i="28"/>
  <c r="AI12" i="28"/>
  <c r="V12" i="28"/>
  <c r="BT11" i="28"/>
  <c r="BA11" i="28"/>
  <c r="AI11" i="28"/>
  <c r="BG8" i="28"/>
  <c r="AN8" i="28"/>
  <c r="V8" i="28"/>
  <c r="BT6" i="28"/>
  <c r="BG6" i="28"/>
  <c r="BA6" i="28"/>
  <c r="AN6" i="28"/>
  <c r="AI6" i="28"/>
  <c r="V6" i="28"/>
  <c r="BT5" i="28"/>
  <c r="BA5" i="28"/>
  <c r="AI5" i="28"/>
  <c r="BU3" i="28"/>
  <c r="BB3" i="28"/>
  <c r="AJ3" i="28"/>
  <c r="G59" i="27"/>
  <c r="BK59" i="27" s="1"/>
  <c r="O48" i="27"/>
  <c r="BS46" i="27"/>
  <c r="BQ46" i="27"/>
  <c r="BI46" i="27"/>
  <c r="AZ46" i="27"/>
  <c r="AX46" i="27"/>
  <c r="AP46" i="27"/>
  <c r="AH46" i="27"/>
  <c r="AF46" i="27"/>
  <c r="X46" i="27"/>
  <c r="Q46" i="27"/>
  <c r="BU46" i="27" s="1"/>
  <c r="BS45" i="27"/>
  <c r="BQ45" i="27"/>
  <c r="AZ45" i="27"/>
  <c r="AX45" i="27"/>
  <c r="AH45" i="27"/>
  <c r="AF45" i="27"/>
  <c r="Q45" i="27"/>
  <c r="BB45" i="27" s="1"/>
  <c r="BU44" i="27"/>
  <c r="BS44" i="27"/>
  <c r="BB44" i="27"/>
  <c r="AZ44" i="27"/>
  <c r="AJ44" i="27"/>
  <c r="AH44" i="27"/>
  <c r="BU43" i="27"/>
  <c r="BS43" i="27"/>
  <c r="BB43" i="27"/>
  <c r="AZ43" i="27"/>
  <c r="AJ43" i="27"/>
  <c r="AH43" i="27"/>
  <c r="BU42" i="27"/>
  <c r="BS42" i="27"/>
  <c r="BB42" i="27"/>
  <c r="AZ42" i="27"/>
  <c r="AJ42" i="27"/>
  <c r="AH42" i="27"/>
  <c r="BU41" i="27"/>
  <c r="BS41" i="27"/>
  <c r="BB41" i="27"/>
  <c r="AZ41" i="27"/>
  <c r="AJ41" i="27"/>
  <c r="AH41" i="27"/>
  <c r="BU40" i="27"/>
  <c r="BS40" i="27"/>
  <c r="BB40" i="27"/>
  <c r="AZ40" i="27"/>
  <c r="AJ40" i="27"/>
  <c r="AH40" i="27"/>
  <c r="BU39" i="27"/>
  <c r="BS39" i="27"/>
  <c r="BB39" i="27"/>
  <c r="AZ39" i="27"/>
  <c r="AJ39" i="27"/>
  <c r="AH39" i="27"/>
  <c r="BU38" i="27"/>
  <c r="BS38" i="27"/>
  <c r="BB38" i="27"/>
  <c r="AZ38" i="27"/>
  <c r="AJ38" i="27"/>
  <c r="AH38" i="27"/>
  <c r="BU37" i="27"/>
  <c r="BS37" i="27"/>
  <c r="BB37" i="27"/>
  <c r="AZ37" i="27"/>
  <c r="AJ37" i="27"/>
  <c r="AH37" i="27"/>
  <c r="BU36" i="27"/>
  <c r="BS36" i="27"/>
  <c r="BB36" i="27"/>
  <c r="AZ36" i="27"/>
  <c r="AJ36" i="27"/>
  <c r="AH36" i="27"/>
  <c r="BU35" i="27"/>
  <c r="BS35" i="27"/>
  <c r="BB35" i="27"/>
  <c r="AZ35" i="27"/>
  <c r="AJ35" i="27"/>
  <c r="AH35" i="27"/>
  <c r="BU34" i="27"/>
  <c r="BS34" i="27"/>
  <c r="BB34" i="27"/>
  <c r="AZ34" i="27"/>
  <c r="AJ34" i="27"/>
  <c r="AH34" i="27"/>
  <c r="BU33" i="27"/>
  <c r="BS33" i="27"/>
  <c r="BB33" i="27"/>
  <c r="AZ33" i="27"/>
  <c r="AJ33" i="27"/>
  <c r="AH33" i="27"/>
  <c r="BU32" i="27"/>
  <c r="BS32" i="27"/>
  <c r="BB32" i="27"/>
  <c r="AZ32" i="27"/>
  <c r="AJ32" i="27"/>
  <c r="AH32" i="27"/>
  <c r="BU31" i="27"/>
  <c r="BS31" i="27"/>
  <c r="BB31" i="27"/>
  <c r="AZ31" i="27"/>
  <c r="AJ31" i="27"/>
  <c r="AH31" i="27"/>
  <c r="BU30" i="27"/>
  <c r="BS30" i="27"/>
  <c r="BB30" i="27"/>
  <c r="AZ30" i="27"/>
  <c r="AJ30" i="27"/>
  <c r="AH30" i="27"/>
  <c r="BU29" i="27"/>
  <c r="BS29" i="27"/>
  <c r="BB29" i="27"/>
  <c r="AZ29" i="27"/>
  <c r="AJ29" i="27"/>
  <c r="AH29" i="27"/>
  <c r="BU28" i="27"/>
  <c r="BS28" i="27"/>
  <c r="BB28" i="27"/>
  <c r="AZ28" i="27"/>
  <c r="AJ28" i="27"/>
  <c r="AH28" i="27"/>
  <c r="BU27" i="27"/>
  <c r="BS27" i="27"/>
  <c r="BB27" i="27"/>
  <c r="AZ27" i="27"/>
  <c r="AJ27" i="27"/>
  <c r="AH27" i="27"/>
  <c r="BU26" i="27"/>
  <c r="BS26" i="27"/>
  <c r="BB26" i="27"/>
  <c r="AZ26" i="27"/>
  <c r="AJ26" i="27"/>
  <c r="AH26" i="27"/>
  <c r="BU25" i="27"/>
  <c r="BS25" i="27"/>
  <c r="BB25" i="27"/>
  <c r="AZ25" i="27"/>
  <c r="AZ48" i="27" s="1"/>
  <c r="AJ25" i="27"/>
  <c r="AH25" i="27"/>
  <c r="BU24" i="27"/>
  <c r="BS24" i="27"/>
  <c r="BB24" i="27"/>
  <c r="AZ24" i="27"/>
  <c r="AJ24" i="27"/>
  <c r="AH24" i="27"/>
  <c r="BU23" i="27"/>
  <c r="BS23" i="27"/>
  <c r="BS48" i="27" s="1"/>
  <c r="BB23" i="27"/>
  <c r="AZ23" i="27"/>
  <c r="AJ23" i="27"/>
  <c r="AH23" i="27"/>
  <c r="AH48" i="27" s="1"/>
  <c r="BQ18" i="27"/>
  <c r="BN18" i="27"/>
  <c r="BL18" i="27"/>
  <c r="AX18" i="27"/>
  <c r="AU18" i="27"/>
  <c r="AS18" i="27"/>
  <c r="AF18" i="27"/>
  <c r="AC18" i="27"/>
  <c r="AA18" i="27"/>
  <c r="BS16" i="27"/>
  <c r="BQ16" i="27"/>
  <c r="BN16" i="27"/>
  <c r="BL16" i="27"/>
  <c r="AZ16" i="27"/>
  <c r="AX16" i="27"/>
  <c r="AU16" i="27"/>
  <c r="AS16" i="27"/>
  <c r="AH16" i="27"/>
  <c r="AF16" i="27"/>
  <c r="AC16" i="27"/>
  <c r="AA16" i="27"/>
  <c r="BG14" i="27"/>
  <c r="AN14" i="27"/>
  <c r="V14" i="27"/>
  <c r="BT12" i="27"/>
  <c r="BG12" i="27"/>
  <c r="BA12" i="27"/>
  <c r="AN12" i="27"/>
  <c r="AI12" i="27"/>
  <c r="V12" i="27"/>
  <c r="BT11" i="27"/>
  <c r="BA11" i="27"/>
  <c r="AI11" i="27"/>
  <c r="BG8" i="27"/>
  <c r="AN8" i="27"/>
  <c r="V8" i="27"/>
  <c r="BT6" i="27"/>
  <c r="BG6" i="27"/>
  <c r="BA6" i="27"/>
  <c r="AN6" i="27"/>
  <c r="AI6" i="27"/>
  <c r="V6" i="27"/>
  <c r="BT5" i="27"/>
  <c r="BA5" i="27"/>
  <c r="AI5" i="27"/>
  <c r="BU3" i="27"/>
  <c r="BB3" i="27"/>
  <c r="AJ3" i="27"/>
  <c r="G59" i="26"/>
  <c r="BK59" i="26" s="1"/>
  <c r="O48" i="26"/>
  <c r="BS46" i="26"/>
  <c r="BQ46" i="26"/>
  <c r="BI46" i="26"/>
  <c r="AZ46" i="26"/>
  <c r="AX46" i="26"/>
  <c r="AP46" i="26"/>
  <c r="AH46" i="26"/>
  <c r="AF46" i="26"/>
  <c r="X46" i="26"/>
  <c r="Q46" i="26"/>
  <c r="BU46" i="26" s="1"/>
  <c r="BS45" i="26"/>
  <c r="BQ45" i="26"/>
  <c r="AZ45" i="26"/>
  <c r="AX45" i="26"/>
  <c r="AH45" i="26"/>
  <c r="AF45" i="26"/>
  <c r="Q45" i="26"/>
  <c r="BB45" i="26" s="1"/>
  <c r="BU44" i="26"/>
  <c r="BS44" i="26"/>
  <c r="BB44" i="26"/>
  <c r="AZ44" i="26"/>
  <c r="AJ44" i="26"/>
  <c r="AH44" i="26"/>
  <c r="BU43" i="26"/>
  <c r="BS43" i="26"/>
  <c r="BB43" i="26"/>
  <c r="AZ43" i="26"/>
  <c r="AJ43" i="26"/>
  <c r="AH43" i="26"/>
  <c r="BU42" i="26"/>
  <c r="BS42" i="26"/>
  <c r="BB42" i="26"/>
  <c r="AZ42" i="26"/>
  <c r="AJ42" i="26"/>
  <c r="AH42" i="26"/>
  <c r="BU41" i="26"/>
  <c r="BS41" i="26"/>
  <c r="BB41" i="26"/>
  <c r="AZ41" i="26"/>
  <c r="AJ41" i="26"/>
  <c r="AH41" i="26"/>
  <c r="BU40" i="26"/>
  <c r="BS40" i="26"/>
  <c r="BB40" i="26"/>
  <c r="AZ40" i="26"/>
  <c r="AJ40" i="26"/>
  <c r="AH40" i="26"/>
  <c r="BU39" i="26"/>
  <c r="BS39" i="26"/>
  <c r="BB39" i="26"/>
  <c r="AZ39" i="26"/>
  <c r="AJ39" i="26"/>
  <c r="AH39" i="26"/>
  <c r="BU38" i="26"/>
  <c r="BS38" i="26"/>
  <c r="BB38" i="26"/>
  <c r="AZ38" i="26"/>
  <c r="AJ38" i="26"/>
  <c r="AH38" i="26"/>
  <c r="BU37" i="26"/>
  <c r="BS37" i="26"/>
  <c r="BB37" i="26"/>
  <c r="AZ37" i="26"/>
  <c r="AJ37" i="26"/>
  <c r="AH37" i="26"/>
  <c r="BU36" i="26"/>
  <c r="BS36" i="26"/>
  <c r="BB36" i="26"/>
  <c r="AZ36" i="26"/>
  <c r="AJ36" i="26"/>
  <c r="AH36" i="26"/>
  <c r="BU35" i="26"/>
  <c r="BS35" i="26"/>
  <c r="BB35" i="26"/>
  <c r="AZ35" i="26"/>
  <c r="AJ35" i="26"/>
  <c r="AH35" i="26"/>
  <c r="BU34" i="26"/>
  <c r="BS34" i="26"/>
  <c r="BB34" i="26"/>
  <c r="AZ34" i="26"/>
  <c r="AJ34" i="26"/>
  <c r="AH34" i="26"/>
  <c r="BU33" i="26"/>
  <c r="BS33" i="26"/>
  <c r="BB33" i="26"/>
  <c r="AZ33" i="26"/>
  <c r="AJ33" i="26"/>
  <c r="AH33" i="26"/>
  <c r="BU32" i="26"/>
  <c r="BS32" i="26"/>
  <c r="BB32" i="26"/>
  <c r="AZ32" i="26"/>
  <c r="AJ32" i="26"/>
  <c r="AH32" i="26"/>
  <c r="BU31" i="26"/>
  <c r="BS31" i="26"/>
  <c r="BB31" i="26"/>
  <c r="AZ31" i="26"/>
  <c r="AJ31" i="26"/>
  <c r="AH31" i="26"/>
  <c r="BU30" i="26"/>
  <c r="BS30" i="26"/>
  <c r="BB30" i="26"/>
  <c r="AZ30" i="26"/>
  <c r="AJ30" i="26"/>
  <c r="AH30" i="26"/>
  <c r="BU29" i="26"/>
  <c r="BS29" i="26"/>
  <c r="BB29" i="26"/>
  <c r="AZ29" i="26"/>
  <c r="AJ29" i="26"/>
  <c r="AH29" i="26"/>
  <c r="BU28" i="26"/>
  <c r="BS28" i="26"/>
  <c r="BB28" i="26"/>
  <c r="AZ28" i="26"/>
  <c r="AJ28" i="26"/>
  <c r="AH28" i="26"/>
  <c r="BU27" i="26"/>
  <c r="BS27" i="26"/>
  <c r="BB27" i="26"/>
  <c r="AZ27" i="26"/>
  <c r="AJ27" i="26"/>
  <c r="AH27" i="26"/>
  <c r="BU26" i="26"/>
  <c r="BS26" i="26"/>
  <c r="BB26" i="26"/>
  <c r="AZ26" i="26"/>
  <c r="AJ26" i="26"/>
  <c r="AH26" i="26"/>
  <c r="BU25" i="26"/>
  <c r="BS25" i="26"/>
  <c r="BB25" i="26"/>
  <c r="AZ25" i="26"/>
  <c r="AJ25" i="26"/>
  <c r="AH25" i="26"/>
  <c r="BU24" i="26"/>
  <c r="BS24" i="26"/>
  <c r="BB24" i="26"/>
  <c r="AZ24" i="26"/>
  <c r="AJ24" i="26"/>
  <c r="AH24" i="26"/>
  <c r="BU23" i="26"/>
  <c r="BS23" i="26"/>
  <c r="BB23" i="26"/>
  <c r="AZ23" i="26"/>
  <c r="AJ23" i="26"/>
  <c r="AH23" i="26"/>
  <c r="AH48" i="26" s="1"/>
  <c r="BQ18" i="26"/>
  <c r="BN18" i="26"/>
  <c r="BL18" i="26"/>
  <c r="AX18" i="26"/>
  <c r="AU18" i="26"/>
  <c r="AS18" i="26"/>
  <c r="AF18" i="26"/>
  <c r="AC18" i="26"/>
  <c r="AA18" i="26"/>
  <c r="BS16" i="26"/>
  <c r="BQ16" i="26"/>
  <c r="BN16" i="26"/>
  <c r="BL16" i="26"/>
  <c r="AZ16" i="26"/>
  <c r="AX16" i="26"/>
  <c r="AU16" i="26"/>
  <c r="AS16" i="26"/>
  <c r="AH16" i="26"/>
  <c r="AF16" i="26"/>
  <c r="AC16" i="26"/>
  <c r="AA16" i="26"/>
  <c r="BG14" i="26"/>
  <c r="AN14" i="26"/>
  <c r="V14" i="26"/>
  <c r="BT12" i="26"/>
  <c r="BG12" i="26"/>
  <c r="BA12" i="26"/>
  <c r="AN12" i="26"/>
  <c r="AI12" i="26"/>
  <c r="V12" i="26"/>
  <c r="BT11" i="26"/>
  <c r="BA11" i="26"/>
  <c r="AI11" i="26"/>
  <c r="BG8" i="26"/>
  <c r="AN8" i="26"/>
  <c r="V8" i="26"/>
  <c r="BT6" i="26"/>
  <c r="BG6" i="26"/>
  <c r="BA6" i="26"/>
  <c r="AN6" i="26"/>
  <c r="AI6" i="26"/>
  <c r="V6" i="26"/>
  <c r="BT5" i="26"/>
  <c r="BA5" i="26"/>
  <c r="AI5" i="26"/>
  <c r="BU3" i="26"/>
  <c r="BB3" i="26"/>
  <c r="AJ3" i="26"/>
  <c r="G59" i="25"/>
  <c r="BK59" i="25" s="1"/>
  <c r="O48" i="25"/>
  <c r="BS46" i="25"/>
  <c r="BQ46" i="25"/>
  <c r="BI46" i="25"/>
  <c r="AZ46" i="25"/>
  <c r="AX46" i="25"/>
  <c r="AP46" i="25"/>
  <c r="AH46" i="25"/>
  <c r="AF46" i="25"/>
  <c r="X46" i="25"/>
  <c r="Q46" i="25"/>
  <c r="BU46" i="25" s="1"/>
  <c r="BS45" i="25"/>
  <c r="BQ45" i="25"/>
  <c r="AZ45" i="25"/>
  <c r="AX45" i="25"/>
  <c r="AH45" i="25"/>
  <c r="AF45" i="25"/>
  <c r="Q45" i="25"/>
  <c r="BB45" i="25" s="1"/>
  <c r="BU44" i="25"/>
  <c r="BS44" i="25"/>
  <c r="BB44" i="25"/>
  <c r="AZ44" i="25"/>
  <c r="AJ44" i="25"/>
  <c r="AH44" i="25"/>
  <c r="BU43" i="25"/>
  <c r="BS43" i="25"/>
  <c r="BB43" i="25"/>
  <c r="AZ43" i="25"/>
  <c r="AJ43" i="25"/>
  <c r="AH43" i="25"/>
  <c r="BU42" i="25"/>
  <c r="BS42" i="25"/>
  <c r="BB42" i="25"/>
  <c r="AZ42" i="25"/>
  <c r="AJ42" i="25"/>
  <c r="AH42" i="25"/>
  <c r="BU41" i="25"/>
  <c r="BS41" i="25"/>
  <c r="BB41" i="25"/>
  <c r="AZ41" i="25"/>
  <c r="AJ41" i="25"/>
  <c r="AH41" i="25"/>
  <c r="BU40" i="25"/>
  <c r="BS40" i="25"/>
  <c r="BB40" i="25"/>
  <c r="AZ40" i="25"/>
  <c r="AJ40" i="25"/>
  <c r="AH40" i="25"/>
  <c r="BU39" i="25"/>
  <c r="BS39" i="25"/>
  <c r="BB39" i="25"/>
  <c r="AZ39" i="25"/>
  <c r="AJ39" i="25"/>
  <c r="AH39" i="25"/>
  <c r="BU38" i="25"/>
  <c r="BS38" i="25"/>
  <c r="BB38" i="25"/>
  <c r="AZ38" i="25"/>
  <c r="AJ38" i="25"/>
  <c r="AH38" i="25"/>
  <c r="BU37" i="25"/>
  <c r="BS37" i="25"/>
  <c r="BB37" i="25"/>
  <c r="AZ37" i="25"/>
  <c r="AJ37" i="25"/>
  <c r="AH37" i="25"/>
  <c r="BU36" i="25"/>
  <c r="BS36" i="25"/>
  <c r="BB36" i="25"/>
  <c r="AZ36" i="25"/>
  <c r="AJ36" i="25"/>
  <c r="AH36" i="25"/>
  <c r="BU35" i="25"/>
  <c r="BS35" i="25"/>
  <c r="BB35" i="25"/>
  <c r="AZ35" i="25"/>
  <c r="AJ35" i="25"/>
  <c r="AH35" i="25"/>
  <c r="BU34" i="25"/>
  <c r="BS34" i="25"/>
  <c r="BB34" i="25"/>
  <c r="AZ34" i="25"/>
  <c r="AJ34" i="25"/>
  <c r="AH34" i="25"/>
  <c r="BU33" i="25"/>
  <c r="BS33" i="25"/>
  <c r="BB33" i="25"/>
  <c r="AZ33" i="25"/>
  <c r="AJ33" i="25"/>
  <c r="AH33" i="25"/>
  <c r="BU32" i="25"/>
  <c r="BS32" i="25"/>
  <c r="BB32" i="25"/>
  <c r="AZ32" i="25"/>
  <c r="AJ32" i="25"/>
  <c r="AH32" i="25"/>
  <c r="BU31" i="25"/>
  <c r="BS31" i="25"/>
  <c r="BB31" i="25"/>
  <c r="AZ31" i="25"/>
  <c r="AJ31" i="25"/>
  <c r="AH31" i="25"/>
  <c r="BU30" i="25"/>
  <c r="BS30" i="25"/>
  <c r="BB30" i="25"/>
  <c r="AZ30" i="25"/>
  <c r="AJ30" i="25"/>
  <c r="AH30" i="25"/>
  <c r="BU29" i="25"/>
  <c r="BS29" i="25"/>
  <c r="BB29" i="25"/>
  <c r="AZ29" i="25"/>
  <c r="AJ29" i="25"/>
  <c r="AH29" i="25"/>
  <c r="BU28" i="25"/>
  <c r="BS28" i="25"/>
  <c r="BB28" i="25"/>
  <c r="AZ28" i="25"/>
  <c r="AJ28" i="25"/>
  <c r="AH28" i="25"/>
  <c r="BU27" i="25"/>
  <c r="BS27" i="25"/>
  <c r="BB27" i="25"/>
  <c r="AZ27" i="25"/>
  <c r="AJ27" i="25"/>
  <c r="AH27" i="25"/>
  <c r="BU26" i="25"/>
  <c r="BS26" i="25"/>
  <c r="BB26" i="25"/>
  <c r="AZ26" i="25"/>
  <c r="AJ26" i="25"/>
  <c r="AH26" i="25"/>
  <c r="BU25" i="25"/>
  <c r="BS25" i="25"/>
  <c r="BB25" i="25"/>
  <c r="AZ25" i="25"/>
  <c r="AJ25" i="25"/>
  <c r="AH25" i="25"/>
  <c r="BU24" i="25"/>
  <c r="BS24" i="25"/>
  <c r="BB24" i="25"/>
  <c r="AZ24" i="25"/>
  <c r="AZ48" i="25" s="1"/>
  <c r="AJ24" i="25"/>
  <c r="AH24" i="25"/>
  <c r="BU23" i="25"/>
  <c r="BS23" i="25"/>
  <c r="BS48" i="25" s="1"/>
  <c r="BB23" i="25"/>
  <c r="AZ23" i="25"/>
  <c r="AJ23" i="25"/>
  <c r="AH23" i="25"/>
  <c r="AH48" i="25" s="1"/>
  <c r="BQ18" i="25"/>
  <c r="BN18" i="25"/>
  <c r="BL18" i="25"/>
  <c r="AX18" i="25"/>
  <c r="AU18" i="25"/>
  <c r="AS18" i="25"/>
  <c r="AF18" i="25"/>
  <c r="AC18" i="25"/>
  <c r="AA18" i="25"/>
  <c r="BS16" i="25"/>
  <c r="BQ16" i="25"/>
  <c r="BN16" i="25"/>
  <c r="BL16" i="25"/>
  <c r="AZ16" i="25"/>
  <c r="AX16" i="25"/>
  <c r="AU16" i="25"/>
  <c r="AS16" i="25"/>
  <c r="AH16" i="25"/>
  <c r="AF16" i="25"/>
  <c r="AC16" i="25"/>
  <c r="AA16" i="25"/>
  <c r="BG14" i="25"/>
  <c r="AN14" i="25"/>
  <c r="V14" i="25"/>
  <c r="BT12" i="25"/>
  <c r="BG12" i="25"/>
  <c r="BA12" i="25"/>
  <c r="AN12" i="25"/>
  <c r="AI12" i="25"/>
  <c r="V12" i="25"/>
  <c r="BT11" i="25"/>
  <c r="BA11" i="25"/>
  <c r="AI11" i="25"/>
  <c r="BG8" i="25"/>
  <c r="AN8" i="25"/>
  <c r="V8" i="25"/>
  <c r="BT6" i="25"/>
  <c r="BG6" i="25"/>
  <c r="BA6" i="25"/>
  <c r="AN6" i="25"/>
  <c r="AI6" i="25"/>
  <c r="V6" i="25"/>
  <c r="BT5" i="25"/>
  <c r="BA5" i="25"/>
  <c r="AI5" i="25"/>
  <c r="BU3" i="25"/>
  <c r="BB3" i="25"/>
  <c r="AJ3" i="25"/>
  <c r="G59" i="24"/>
  <c r="BK59" i="24" s="1"/>
  <c r="O48" i="24"/>
  <c r="BS46" i="24"/>
  <c r="BQ46" i="24"/>
  <c r="BI46" i="24"/>
  <c r="AZ46" i="24"/>
  <c r="AX46" i="24"/>
  <c r="AP46" i="24"/>
  <c r="AH46" i="24"/>
  <c r="AF46" i="24"/>
  <c r="X46" i="24"/>
  <c r="Q46" i="24"/>
  <c r="BU46" i="24" s="1"/>
  <c r="BS45" i="24"/>
  <c r="BQ45" i="24"/>
  <c r="AZ45" i="24"/>
  <c r="AZ48" i="24" s="1"/>
  <c r="AX45" i="24"/>
  <c r="AH45" i="24"/>
  <c r="AF45" i="24"/>
  <c r="Q45" i="24"/>
  <c r="BB45" i="24" s="1"/>
  <c r="BU44" i="24"/>
  <c r="BS44" i="24"/>
  <c r="BB44" i="24"/>
  <c r="AZ44" i="24"/>
  <c r="AJ44" i="24"/>
  <c r="AH44" i="24"/>
  <c r="BU43" i="24"/>
  <c r="BS43" i="24"/>
  <c r="BB43" i="24"/>
  <c r="AZ43" i="24"/>
  <c r="AJ43" i="24"/>
  <c r="AH43" i="24"/>
  <c r="BU42" i="24"/>
  <c r="BS42" i="24"/>
  <c r="BB42" i="24"/>
  <c r="AZ42" i="24"/>
  <c r="AJ42" i="24"/>
  <c r="AH42" i="24"/>
  <c r="BU41" i="24"/>
  <c r="BS41" i="24"/>
  <c r="BB41" i="24"/>
  <c r="AZ41" i="24"/>
  <c r="AJ41" i="24"/>
  <c r="AH41" i="24"/>
  <c r="BU40" i="24"/>
  <c r="BS40" i="24"/>
  <c r="BB40" i="24"/>
  <c r="AZ40" i="24"/>
  <c r="AJ40" i="24"/>
  <c r="AH40" i="24"/>
  <c r="BU39" i="24"/>
  <c r="BS39" i="24"/>
  <c r="BB39" i="24"/>
  <c r="AZ39" i="24"/>
  <c r="AJ39" i="24"/>
  <c r="AH39" i="24"/>
  <c r="BU38" i="24"/>
  <c r="BS38" i="24"/>
  <c r="BB38" i="24"/>
  <c r="AZ38" i="24"/>
  <c r="AJ38" i="24"/>
  <c r="AH38" i="24"/>
  <c r="BU37" i="24"/>
  <c r="BS37" i="24"/>
  <c r="BB37" i="24"/>
  <c r="AZ37" i="24"/>
  <c r="AJ37" i="24"/>
  <c r="AH37" i="24"/>
  <c r="BU36" i="24"/>
  <c r="BS36" i="24"/>
  <c r="BB36" i="24"/>
  <c r="AZ36" i="24"/>
  <c r="AJ36" i="24"/>
  <c r="AH36" i="24"/>
  <c r="BU35" i="24"/>
  <c r="BS35" i="24"/>
  <c r="BB35" i="24"/>
  <c r="AZ35" i="24"/>
  <c r="AJ35" i="24"/>
  <c r="AH35" i="24"/>
  <c r="BU34" i="24"/>
  <c r="BS34" i="24"/>
  <c r="BB34" i="24"/>
  <c r="AZ34" i="24"/>
  <c r="AJ34" i="24"/>
  <c r="AH34" i="24"/>
  <c r="BU33" i="24"/>
  <c r="BS33" i="24"/>
  <c r="BB33" i="24"/>
  <c r="AZ33" i="24"/>
  <c r="AJ33" i="24"/>
  <c r="AH33" i="24"/>
  <c r="BU32" i="24"/>
  <c r="BS32" i="24"/>
  <c r="BB32" i="24"/>
  <c r="AZ32" i="24"/>
  <c r="AJ32" i="24"/>
  <c r="AH32" i="24"/>
  <c r="BU31" i="24"/>
  <c r="BS31" i="24"/>
  <c r="BB31" i="24"/>
  <c r="AZ31" i="24"/>
  <c r="AJ31" i="24"/>
  <c r="AH31" i="24"/>
  <c r="BU30" i="24"/>
  <c r="BS30" i="24"/>
  <c r="BB30" i="24"/>
  <c r="AZ30" i="24"/>
  <c r="AJ30" i="24"/>
  <c r="AH30" i="24"/>
  <c r="BU29" i="24"/>
  <c r="BS29" i="24"/>
  <c r="BB29" i="24"/>
  <c r="AZ29" i="24"/>
  <c r="AJ29" i="24"/>
  <c r="AH29" i="24"/>
  <c r="BU28" i="24"/>
  <c r="BS28" i="24"/>
  <c r="BB28" i="24"/>
  <c r="AZ28" i="24"/>
  <c r="AJ28" i="24"/>
  <c r="AH28" i="24"/>
  <c r="BU27" i="24"/>
  <c r="BS27" i="24"/>
  <c r="BB27" i="24"/>
  <c r="AZ27" i="24"/>
  <c r="AJ27" i="24"/>
  <c r="AH27" i="24"/>
  <c r="BU26" i="24"/>
  <c r="BS26" i="24"/>
  <c r="BB26" i="24"/>
  <c r="AZ26" i="24"/>
  <c r="AJ26" i="24"/>
  <c r="AH26" i="24"/>
  <c r="BU25" i="24"/>
  <c r="BS25" i="24"/>
  <c r="BB25" i="24"/>
  <c r="AZ25" i="24"/>
  <c r="AJ25" i="24"/>
  <c r="AH25" i="24"/>
  <c r="BU24" i="24"/>
  <c r="BS24" i="24"/>
  <c r="BB24" i="24"/>
  <c r="AZ24" i="24"/>
  <c r="AJ24" i="24"/>
  <c r="AH24" i="24"/>
  <c r="BU23" i="24"/>
  <c r="BS23" i="24"/>
  <c r="BS48" i="24" s="1"/>
  <c r="BB23" i="24"/>
  <c r="AZ23" i="24"/>
  <c r="AJ23" i="24"/>
  <c r="AH23" i="24"/>
  <c r="BQ18" i="24"/>
  <c r="BN18" i="24"/>
  <c r="BL18" i="24"/>
  <c r="AX18" i="24"/>
  <c r="AU18" i="24"/>
  <c r="AS18" i="24"/>
  <c r="AF18" i="24"/>
  <c r="AC18" i="24"/>
  <c r="AA18" i="24"/>
  <c r="BS16" i="24"/>
  <c r="BQ16" i="24"/>
  <c r="BN16" i="24"/>
  <c r="BL16" i="24"/>
  <c r="AZ16" i="24"/>
  <c r="AX16" i="24"/>
  <c r="AU16" i="24"/>
  <c r="AS16" i="24"/>
  <c r="AH16" i="24"/>
  <c r="AF16" i="24"/>
  <c r="AC16" i="24"/>
  <c r="AA16" i="24"/>
  <c r="BG14" i="24"/>
  <c r="AN14" i="24"/>
  <c r="V14" i="24"/>
  <c r="BT12" i="24"/>
  <c r="BG12" i="24"/>
  <c r="BA12" i="24"/>
  <c r="AN12" i="24"/>
  <c r="AI12" i="24"/>
  <c r="V12" i="24"/>
  <c r="BT11" i="24"/>
  <c r="BA11" i="24"/>
  <c r="AI11" i="24"/>
  <c r="BG8" i="24"/>
  <c r="AN8" i="24"/>
  <c r="V8" i="24"/>
  <c r="BT6" i="24"/>
  <c r="BG6" i="24"/>
  <c r="BA6" i="24"/>
  <c r="AN6" i="24"/>
  <c r="AI6" i="24"/>
  <c r="V6" i="24"/>
  <c r="BT5" i="24"/>
  <c r="BA5" i="24"/>
  <c r="AI5" i="24"/>
  <c r="BU3" i="24"/>
  <c r="BB3" i="24"/>
  <c r="AJ3" i="24"/>
  <c r="G59" i="23"/>
  <c r="BK59" i="23" s="1"/>
  <c r="AH48" i="23"/>
  <c r="O48" i="23"/>
  <c r="BS46" i="23"/>
  <c r="BQ46" i="23"/>
  <c r="BI46" i="23"/>
  <c r="BB46" i="23"/>
  <c r="AZ46" i="23"/>
  <c r="AX46" i="23"/>
  <c r="AP46" i="23"/>
  <c r="AH46" i="23"/>
  <c r="AF46" i="23"/>
  <c r="X46" i="23"/>
  <c r="Q46" i="23"/>
  <c r="BU46" i="23" s="1"/>
  <c r="BU45" i="23"/>
  <c r="BS45" i="23"/>
  <c r="BQ45" i="23"/>
  <c r="AZ45" i="23"/>
  <c r="AX45" i="23"/>
  <c r="AJ45" i="23"/>
  <c r="AH45" i="23"/>
  <c r="AF45" i="23"/>
  <c r="Q45" i="23"/>
  <c r="BB45" i="23" s="1"/>
  <c r="BU44" i="23"/>
  <c r="BS44" i="23"/>
  <c r="BB44" i="23"/>
  <c r="AZ44" i="23"/>
  <c r="AJ44" i="23"/>
  <c r="AH44" i="23"/>
  <c r="BU43" i="23"/>
  <c r="BS43" i="23"/>
  <c r="BB43" i="23"/>
  <c r="AZ43" i="23"/>
  <c r="AJ43" i="23"/>
  <c r="AH43" i="23"/>
  <c r="BU42" i="23"/>
  <c r="BS42" i="23"/>
  <c r="BB42" i="23"/>
  <c r="AZ42" i="23"/>
  <c r="AJ42" i="23"/>
  <c r="AH42" i="23"/>
  <c r="BU41" i="23"/>
  <c r="BS41" i="23"/>
  <c r="BB41" i="23"/>
  <c r="AZ41" i="23"/>
  <c r="AJ41" i="23"/>
  <c r="AH41" i="23"/>
  <c r="BU40" i="23"/>
  <c r="BS40" i="23"/>
  <c r="BB40" i="23"/>
  <c r="AZ40" i="23"/>
  <c r="AJ40" i="23"/>
  <c r="AH40" i="23"/>
  <c r="BU39" i="23"/>
  <c r="BS39" i="23"/>
  <c r="BB39" i="23"/>
  <c r="AZ39" i="23"/>
  <c r="AJ39" i="23"/>
  <c r="AH39" i="23"/>
  <c r="BU38" i="23"/>
  <c r="BS38" i="23"/>
  <c r="BB38" i="23"/>
  <c r="AZ38" i="23"/>
  <c r="AJ38" i="23"/>
  <c r="AH38" i="23"/>
  <c r="BU37" i="23"/>
  <c r="BS37" i="23"/>
  <c r="BB37" i="23"/>
  <c r="AZ37" i="23"/>
  <c r="AJ37" i="23"/>
  <c r="AH37" i="23"/>
  <c r="BU36" i="23"/>
  <c r="BS36" i="23"/>
  <c r="BB36" i="23"/>
  <c r="AZ36" i="23"/>
  <c r="AJ36" i="23"/>
  <c r="AH36" i="23"/>
  <c r="BU35" i="23"/>
  <c r="BS35" i="23"/>
  <c r="BB35" i="23"/>
  <c r="AZ35" i="23"/>
  <c r="AJ35" i="23"/>
  <c r="AH35" i="23"/>
  <c r="BU34" i="23"/>
  <c r="BS34" i="23"/>
  <c r="BB34" i="23"/>
  <c r="AZ34" i="23"/>
  <c r="AJ34" i="23"/>
  <c r="AH34" i="23"/>
  <c r="BU33" i="23"/>
  <c r="BS33" i="23"/>
  <c r="BB33" i="23"/>
  <c r="AZ33" i="23"/>
  <c r="AJ33" i="23"/>
  <c r="AH33" i="23"/>
  <c r="BU32" i="23"/>
  <c r="BS32" i="23"/>
  <c r="BB32" i="23"/>
  <c r="AZ32" i="23"/>
  <c r="AJ32" i="23"/>
  <c r="AH32" i="23"/>
  <c r="BU31" i="23"/>
  <c r="BS31" i="23"/>
  <c r="BB31" i="23"/>
  <c r="AZ31" i="23"/>
  <c r="AJ31" i="23"/>
  <c r="AH31" i="23"/>
  <c r="BU30" i="23"/>
  <c r="BS30" i="23"/>
  <c r="BB30" i="23"/>
  <c r="AZ30" i="23"/>
  <c r="AJ30" i="23"/>
  <c r="AH30" i="23"/>
  <c r="BU29" i="23"/>
  <c r="BS29" i="23"/>
  <c r="BB29" i="23"/>
  <c r="AZ29" i="23"/>
  <c r="AJ29" i="23"/>
  <c r="AH29" i="23"/>
  <c r="BU28" i="23"/>
  <c r="BS28" i="23"/>
  <c r="BB28" i="23"/>
  <c r="AZ28" i="23"/>
  <c r="AJ28" i="23"/>
  <c r="AH28" i="23"/>
  <c r="BU27" i="23"/>
  <c r="BS27" i="23"/>
  <c r="BB27" i="23"/>
  <c r="AZ27" i="23"/>
  <c r="AJ27" i="23"/>
  <c r="AH27" i="23"/>
  <c r="BU26" i="23"/>
  <c r="BS26" i="23"/>
  <c r="BB26" i="23"/>
  <c r="AZ26" i="23"/>
  <c r="AJ26" i="23"/>
  <c r="AH26" i="23"/>
  <c r="BU25" i="23"/>
  <c r="BS25" i="23"/>
  <c r="BB25" i="23"/>
  <c r="AZ25" i="23"/>
  <c r="AZ48" i="23" s="1"/>
  <c r="AJ25" i="23"/>
  <c r="AH25" i="23"/>
  <c r="BU24" i="23"/>
  <c r="BS24" i="23"/>
  <c r="BB24" i="23"/>
  <c r="AZ24" i="23"/>
  <c r="AJ24" i="23"/>
  <c r="AH24" i="23"/>
  <c r="BU23" i="23"/>
  <c r="BU48" i="23" s="1"/>
  <c r="BS23" i="23"/>
  <c r="BS48" i="23" s="1"/>
  <c r="BB23" i="23"/>
  <c r="AZ23" i="23"/>
  <c r="AJ23" i="23"/>
  <c r="AH23" i="23"/>
  <c r="BQ18" i="23"/>
  <c r="BN18" i="23"/>
  <c r="BL18" i="23"/>
  <c r="AX18" i="23"/>
  <c r="AU18" i="23"/>
  <c r="AS18" i="23"/>
  <c r="AF18" i="23"/>
  <c r="AC18" i="23"/>
  <c r="AA18" i="23"/>
  <c r="BS16" i="23"/>
  <c r="BQ16" i="23"/>
  <c r="BN16" i="23"/>
  <c r="BL16" i="23"/>
  <c r="AZ16" i="23"/>
  <c r="AX16" i="23"/>
  <c r="AU16" i="23"/>
  <c r="AS16" i="23"/>
  <c r="AH16" i="23"/>
  <c r="AF16" i="23"/>
  <c r="AC16" i="23"/>
  <c r="AA16" i="23"/>
  <c r="BG14" i="23"/>
  <c r="AN14" i="23"/>
  <c r="V14" i="23"/>
  <c r="BT12" i="23"/>
  <c r="BG12" i="23"/>
  <c r="BA12" i="23"/>
  <c r="AN12" i="23"/>
  <c r="AI12" i="23"/>
  <c r="V12" i="23"/>
  <c r="BT11" i="23"/>
  <c r="BA11" i="23"/>
  <c r="AI11" i="23"/>
  <c r="BG8" i="23"/>
  <c r="AN8" i="23"/>
  <c r="V8" i="23"/>
  <c r="BT6" i="23"/>
  <c r="BG6" i="23"/>
  <c r="BA6" i="23"/>
  <c r="AN6" i="23"/>
  <c r="AI6" i="23"/>
  <c r="V6" i="23"/>
  <c r="BT5" i="23"/>
  <c r="BA5" i="23"/>
  <c r="AI5" i="23"/>
  <c r="BU3" i="23"/>
  <c r="BB3" i="23"/>
  <c r="AJ3" i="23"/>
  <c r="G59" i="22"/>
  <c r="BK59" i="22" s="1"/>
  <c r="O48" i="22"/>
  <c r="BS46" i="22"/>
  <c r="BQ46" i="22"/>
  <c r="BI46" i="22"/>
  <c r="AZ46" i="22"/>
  <c r="AX46" i="22"/>
  <c r="AP46" i="22"/>
  <c r="AH46" i="22"/>
  <c r="AF46" i="22"/>
  <c r="X46" i="22"/>
  <c r="Q46" i="22"/>
  <c r="BU46" i="22" s="1"/>
  <c r="BS45" i="22"/>
  <c r="BQ45" i="22"/>
  <c r="BB45" i="22"/>
  <c r="AZ45" i="22"/>
  <c r="AX45" i="22"/>
  <c r="AH45" i="22"/>
  <c r="AF45" i="22"/>
  <c r="Q45" i="22"/>
  <c r="BU45" i="22" s="1"/>
  <c r="BU44" i="22"/>
  <c r="BS44" i="22"/>
  <c r="BB44" i="22"/>
  <c r="AZ44" i="22"/>
  <c r="AJ44" i="22"/>
  <c r="AH44" i="22"/>
  <c r="BU43" i="22"/>
  <c r="BS43" i="22"/>
  <c r="BB43" i="22"/>
  <c r="AZ43" i="22"/>
  <c r="AJ43" i="22"/>
  <c r="AH43" i="22"/>
  <c r="BU42" i="22"/>
  <c r="BS42" i="22"/>
  <c r="BB42" i="22"/>
  <c r="AZ42" i="22"/>
  <c r="AJ42" i="22"/>
  <c r="AH42" i="22"/>
  <c r="BU41" i="22"/>
  <c r="BS41" i="22"/>
  <c r="BB41" i="22"/>
  <c r="AZ41" i="22"/>
  <c r="AJ41" i="22"/>
  <c r="AH41" i="22"/>
  <c r="BU40" i="22"/>
  <c r="BS40" i="22"/>
  <c r="BB40" i="22"/>
  <c r="AZ40" i="22"/>
  <c r="AJ40" i="22"/>
  <c r="AH40" i="22"/>
  <c r="BU39" i="22"/>
  <c r="BS39" i="22"/>
  <c r="BB39" i="22"/>
  <c r="AZ39" i="22"/>
  <c r="AJ39" i="22"/>
  <c r="AH39" i="22"/>
  <c r="BU38" i="22"/>
  <c r="BS38" i="22"/>
  <c r="BB38" i="22"/>
  <c r="AZ38" i="22"/>
  <c r="AJ38" i="22"/>
  <c r="AH38" i="22"/>
  <c r="BU37" i="22"/>
  <c r="BS37" i="22"/>
  <c r="BB37" i="22"/>
  <c r="AZ37" i="22"/>
  <c r="AJ37" i="22"/>
  <c r="AH37" i="22"/>
  <c r="BU36" i="22"/>
  <c r="BS36" i="22"/>
  <c r="BB36" i="22"/>
  <c r="AZ36" i="22"/>
  <c r="AJ36" i="22"/>
  <c r="AH36" i="22"/>
  <c r="BU35" i="22"/>
  <c r="BS35" i="22"/>
  <c r="BB35" i="22"/>
  <c r="AZ35" i="22"/>
  <c r="AJ35" i="22"/>
  <c r="AH35" i="22"/>
  <c r="BU34" i="22"/>
  <c r="BS34" i="22"/>
  <c r="BB34" i="22"/>
  <c r="AZ34" i="22"/>
  <c r="AJ34" i="22"/>
  <c r="AH34" i="22"/>
  <c r="BU33" i="22"/>
  <c r="BS33" i="22"/>
  <c r="BB33" i="22"/>
  <c r="AZ33" i="22"/>
  <c r="AJ33" i="22"/>
  <c r="AH33" i="22"/>
  <c r="BU32" i="22"/>
  <c r="BS32" i="22"/>
  <c r="BB32" i="22"/>
  <c r="AZ32" i="22"/>
  <c r="AJ32" i="22"/>
  <c r="AH32" i="22"/>
  <c r="BU31" i="22"/>
  <c r="BS31" i="22"/>
  <c r="BB31" i="22"/>
  <c r="AZ31" i="22"/>
  <c r="AJ31" i="22"/>
  <c r="AH31" i="22"/>
  <c r="BU30" i="22"/>
  <c r="BS30" i="22"/>
  <c r="BB30" i="22"/>
  <c r="AZ30" i="22"/>
  <c r="AJ30" i="22"/>
  <c r="AH30" i="22"/>
  <c r="BU29" i="22"/>
  <c r="BS29" i="22"/>
  <c r="BB29" i="22"/>
  <c r="AZ29" i="22"/>
  <c r="AJ29" i="22"/>
  <c r="AH29" i="22"/>
  <c r="BU28" i="22"/>
  <c r="BS28" i="22"/>
  <c r="BB28" i="22"/>
  <c r="AZ28" i="22"/>
  <c r="AJ28" i="22"/>
  <c r="AH28" i="22"/>
  <c r="BU27" i="22"/>
  <c r="BS27" i="22"/>
  <c r="BB27" i="22"/>
  <c r="AZ27" i="22"/>
  <c r="AJ27" i="22"/>
  <c r="AH27" i="22"/>
  <c r="BU26" i="22"/>
  <c r="BS26" i="22"/>
  <c r="BB26" i="22"/>
  <c r="AZ26" i="22"/>
  <c r="AJ26" i="22"/>
  <c r="AH26" i="22"/>
  <c r="BU25" i="22"/>
  <c r="BU48" i="22" s="1"/>
  <c r="BS25" i="22"/>
  <c r="BS48" i="22" s="1"/>
  <c r="BB25" i="22"/>
  <c r="AZ25" i="22"/>
  <c r="AJ25" i="22"/>
  <c r="AH25" i="22"/>
  <c r="BU24" i="22"/>
  <c r="BS24" i="22"/>
  <c r="BB24" i="22"/>
  <c r="AZ24" i="22"/>
  <c r="AJ24" i="22"/>
  <c r="AH24" i="22"/>
  <c r="BU23" i="22"/>
  <c r="BS23" i="22"/>
  <c r="BB23" i="22"/>
  <c r="AZ23" i="22"/>
  <c r="AZ48" i="22" s="1"/>
  <c r="AJ23" i="22"/>
  <c r="AH23" i="22"/>
  <c r="AH48" i="22" s="1"/>
  <c r="BQ18" i="22"/>
  <c r="BN18" i="22"/>
  <c r="BL18" i="22"/>
  <c r="AX18" i="22"/>
  <c r="AU18" i="22"/>
  <c r="AS18" i="22"/>
  <c r="AF18" i="22"/>
  <c r="AC18" i="22"/>
  <c r="AA18" i="22"/>
  <c r="BS16" i="22"/>
  <c r="BQ16" i="22"/>
  <c r="BN16" i="22"/>
  <c r="BL16" i="22"/>
  <c r="AZ16" i="22"/>
  <c r="AX16" i="22"/>
  <c r="AU16" i="22"/>
  <c r="AS16" i="22"/>
  <c r="AH16" i="22"/>
  <c r="AF16" i="22"/>
  <c r="AC16" i="22"/>
  <c r="AA16" i="22"/>
  <c r="BG14" i="22"/>
  <c r="AN14" i="22"/>
  <c r="V14" i="22"/>
  <c r="BT12" i="22"/>
  <c r="BG12" i="22"/>
  <c r="BA12" i="22"/>
  <c r="AN12" i="22"/>
  <c r="AI12" i="22"/>
  <c r="V12" i="22"/>
  <c r="BT11" i="22"/>
  <c r="BA11" i="22"/>
  <c r="AI11" i="22"/>
  <c r="BG8" i="22"/>
  <c r="AN8" i="22"/>
  <c r="V8" i="22"/>
  <c r="BT6" i="22"/>
  <c r="BG6" i="22"/>
  <c r="BA6" i="22"/>
  <c r="AN6" i="22"/>
  <c r="AI6" i="22"/>
  <c r="V6" i="22"/>
  <c r="BT5" i="22"/>
  <c r="BA5" i="22"/>
  <c r="AI5" i="22"/>
  <c r="BU3" i="22"/>
  <c r="BB3" i="22"/>
  <c r="AJ3" i="22"/>
  <c r="G59" i="21"/>
  <c r="BK59" i="21" s="1"/>
  <c r="O48" i="21"/>
  <c r="BS46" i="21"/>
  <c r="BQ46" i="21"/>
  <c r="BI46" i="21"/>
  <c r="AZ46" i="21"/>
  <c r="AX46" i="21"/>
  <c r="AP46" i="21"/>
  <c r="AH46" i="21"/>
  <c r="AF46" i="21"/>
  <c r="X46" i="21"/>
  <c r="Q46" i="21"/>
  <c r="BU46" i="21" s="1"/>
  <c r="BS45" i="21"/>
  <c r="BQ45" i="21"/>
  <c r="AZ45" i="21"/>
  <c r="AX45" i="21"/>
  <c r="AH45" i="21"/>
  <c r="AF45" i="21"/>
  <c r="Q45" i="21"/>
  <c r="BB45" i="21" s="1"/>
  <c r="BU44" i="21"/>
  <c r="BS44" i="21"/>
  <c r="BB44" i="21"/>
  <c r="AZ44" i="21"/>
  <c r="AJ44" i="21"/>
  <c r="AH44" i="21"/>
  <c r="BU43" i="21"/>
  <c r="BS43" i="21"/>
  <c r="BB43" i="21"/>
  <c r="AZ43" i="21"/>
  <c r="AJ43" i="21"/>
  <c r="AH43" i="21"/>
  <c r="BU42" i="21"/>
  <c r="BS42" i="21"/>
  <c r="BB42" i="21"/>
  <c r="AZ42" i="21"/>
  <c r="AJ42" i="21"/>
  <c r="AH42" i="21"/>
  <c r="BU41" i="21"/>
  <c r="BS41" i="21"/>
  <c r="BB41" i="21"/>
  <c r="AZ41" i="21"/>
  <c r="AJ41" i="21"/>
  <c r="AH41" i="21"/>
  <c r="BU40" i="21"/>
  <c r="BS40" i="21"/>
  <c r="BB40" i="21"/>
  <c r="AZ40" i="21"/>
  <c r="AJ40" i="21"/>
  <c r="AH40" i="21"/>
  <c r="BU39" i="21"/>
  <c r="BS39" i="21"/>
  <c r="BB39" i="21"/>
  <c r="AZ39" i="21"/>
  <c r="AJ39" i="21"/>
  <c r="AH39" i="21"/>
  <c r="BU38" i="21"/>
  <c r="BS38" i="21"/>
  <c r="BB38" i="21"/>
  <c r="AZ38" i="21"/>
  <c r="AJ38" i="21"/>
  <c r="AH38" i="21"/>
  <c r="BU37" i="21"/>
  <c r="BS37" i="21"/>
  <c r="BB37" i="21"/>
  <c r="AZ37" i="21"/>
  <c r="AJ37" i="21"/>
  <c r="AH37" i="21"/>
  <c r="BU36" i="21"/>
  <c r="BS36" i="21"/>
  <c r="BB36" i="21"/>
  <c r="AZ36" i="21"/>
  <c r="AJ36" i="21"/>
  <c r="AH36" i="21"/>
  <c r="BU35" i="21"/>
  <c r="BS35" i="21"/>
  <c r="BB35" i="21"/>
  <c r="AZ35" i="21"/>
  <c r="AJ35" i="21"/>
  <c r="AH35" i="21"/>
  <c r="BU34" i="21"/>
  <c r="BS34" i="21"/>
  <c r="BB34" i="21"/>
  <c r="AZ34" i="21"/>
  <c r="AJ34" i="21"/>
  <c r="AH34" i="21"/>
  <c r="BU33" i="21"/>
  <c r="BS33" i="21"/>
  <c r="BB33" i="21"/>
  <c r="AZ33" i="21"/>
  <c r="AJ33" i="21"/>
  <c r="AH33" i="21"/>
  <c r="BU32" i="21"/>
  <c r="BS32" i="21"/>
  <c r="BB32" i="21"/>
  <c r="AZ32" i="21"/>
  <c r="AJ32" i="21"/>
  <c r="AH32" i="21"/>
  <c r="BU31" i="21"/>
  <c r="BS31" i="21"/>
  <c r="BB31" i="21"/>
  <c r="AZ31" i="21"/>
  <c r="AJ31" i="21"/>
  <c r="AH31" i="21"/>
  <c r="BU30" i="21"/>
  <c r="BS30" i="21"/>
  <c r="BB30" i="21"/>
  <c r="AZ30" i="21"/>
  <c r="AJ30" i="21"/>
  <c r="AH30" i="21"/>
  <c r="BU29" i="21"/>
  <c r="BS29" i="21"/>
  <c r="BB29" i="21"/>
  <c r="AZ29" i="21"/>
  <c r="AJ29" i="21"/>
  <c r="AH29" i="21"/>
  <c r="BU28" i="21"/>
  <c r="BS28" i="21"/>
  <c r="BB28" i="21"/>
  <c r="AZ28" i="21"/>
  <c r="AJ28" i="21"/>
  <c r="AH28" i="21"/>
  <c r="BU27" i="21"/>
  <c r="BS27" i="21"/>
  <c r="BB27" i="21"/>
  <c r="AZ27" i="21"/>
  <c r="AJ27" i="21"/>
  <c r="AH27" i="21"/>
  <c r="BU26" i="21"/>
  <c r="BS26" i="21"/>
  <c r="BB26" i="21"/>
  <c r="AZ26" i="21"/>
  <c r="AJ26" i="21"/>
  <c r="AH26" i="21"/>
  <c r="BU25" i="21"/>
  <c r="BS25" i="21"/>
  <c r="BB25" i="21"/>
  <c r="AZ25" i="21"/>
  <c r="AJ25" i="21"/>
  <c r="AH25" i="21"/>
  <c r="BU24" i="21"/>
  <c r="BS24" i="21"/>
  <c r="BB24" i="21"/>
  <c r="AZ24" i="21"/>
  <c r="AJ24" i="21"/>
  <c r="AH24" i="21"/>
  <c r="AH48" i="21" s="1"/>
  <c r="BU23" i="21"/>
  <c r="BS23" i="21"/>
  <c r="BB23" i="21"/>
  <c r="AZ23" i="21"/>
  <c r="AZ48" i="21" s="1"/>
  <c r="AJ23" i="21"/>
  <c r="AH23" i="21"/>
  <c r="BQ18" i="21"/>
  <c r="BN18" i="21"/>
  <c r="BL18" i="21"/>
  <c r="AX18" i="21"/>
  <c r="AU18" i="21"/>
  <c r="AS18" i="21"/>
  <c r="AF18" i="21"/>
  <c r="AC18" i="21"/>
  <c r="AA18" i="21"/>
  <c r="BS16" i="21"/>
  <c r="BQ16" i="21"/>
  <c r="BN16" i="21"/>
  <c r="BL16" i="21"/>
  <c r="AZ16" i="21"/>
  <c r="AX16" i="21"/>
  <c r="AU16" i="21"/>
  <c r="AS16" i="21"/>
  <c r="AH16" i="21"/>
  <c r="AF16" i="21"/>
  <c r="AC16" i="21"/>
  <c r="AA16" i="21"/>
  <c r="BG14" i="21"/>
  <c r="AN14" i="21"/>
  <c r="V14" i="21"/>
  <c r="BT12" i="21"/>
  <c r="BG12" i="21"/>
  <c r="BA12" i="21"/>
  <c r="AN12" i="21"/>
  <c r="AI12" i="21"/>
  <c r="V12" i="21"/>
  <c r="BT11" i="21"/>
  <c r="BA11" i="21"/>
  <c r="AI11" i="21"/>
  <c r="BG8" i="21"/>
  <c r="AN8" i="21"/>
  <c r="V8" i="21"/>
  <c r="BT6" i="21"/>
  <c r="BG6" i="21"/>
  <c r="BA6" i="21"/>
  <c r="AN6" i="21"/>
  <c r="AI6" i="21"/>
  <c r="V6" i="21"/>
  <c r="BT5" i="21"/>
  <c r="BA5" i="21"/>
  <c r="AI5" i="21"/>
  <c r="BU3" i="21"/>
  <c r="BB3" i="21"/>
  <c r="AJ3" i="21"/>
  <c r="G59" i="20"/>
  <c r="BK59" i="20" s="1"/>
  <c r="O48" i="20"/>
  <c r="BS46" i="20"/>
  <c r="BQ46" i="20"/>
  <c r="BI46" i="20"/>
  <c r="AZ46" i="20"/>
  <c r="AX46" i="20"/>
  <c r="AP46" i="20"/>
  <c r="AH46" i="20"/>
  <c r="AF46" i="20"/>
  <c r="X46" i="20"/>
  <c r="Q46" i="20"/>
  <c r="BU46" i="20" s="1"/>
  <c r="BS45" i="20"/>
  <c r="BQ45" i="20"/>
  <c r="AZ45" i="20"/>
  <c r="AX45" i="20"/>
  <c r="AH45" i="20"/>
  <c r="AF45" i="20"/>
  <c r="Q45" i="20"/>
  <c r="BB45" i="20" s="1"/>
  <c r="BU44" i="20"/>
  <c r="BS44" i="20"/>
  <c r="BB44" i="20"/>
  <c r="AZ44" i="20"/>
  <c r="AJ44" i="20"/>
  <c r="AH44" i="20"/>
  <c r="BU43" i="20"/>
  <c r="BS43" i="20"/>
  <c r="BB43" i="20"/>
  <c r="AZ43" i="20"/>
  <c r="AJ43" i="20"/>
  <c r="AH43" i="20"/>
  <c r="BU42" i="20"/>
  <c r="BS42" i="20"/>
  <c r="BB42" i="20"/>
  <c r="AZ42" i="20"/>
  <c r="AJ42" i="20"/>
  <c r="AH42" i="20"/>
  <c r="BU41" i="20"/>
  <c r="BS41" i="20"/>
  <c r="BB41" i="20"/>
  <c r="AZ41" i="20"/>
  <c r="AJ41" i="20"/>
  <c r="AH41" i="20"/>
  <c r="BU40" i="20"/>
  <c r="BS40" i="20"/>
  <c r="BB40" i="20"/>
  <c r="AZ40" i="20"/>
  <c r="AJ40" i="20"/>
  <c r="AH40" i="20"/>
  <c r="BU39" i="20"/>
  <c r="BS39" i="20"/>
  <c r="BB39" i="20"/>
  <c r="AZ39" i="20"/>
  <c r="AJ39" i="20"/>
  <c r="AH39" i="20"/>
  <c r="BU38" i="20"/>
  <c r="BS38" i="20"/>
  <c r="BB38" i="20"/>
  <c r="AZ38" i="20"/>
  <c r="AJ38" i="20"/>
  <c r="AH38" i="20"/>
  <c r="BU37" i="20"/>
  <c r="BS37" i="20"/>
  <c r="BB37" i="20"/>
  <c r="AZ37" i="20"/>
  <c r="AJ37" i="20"/>
  <c r="AH37" i="20"/>
  <c r="BU36" i="20"/>
  <c r="BS36" i="20"/>
  <c r="BB36" i="20"/>
  <c r="AZ36" i="20"/>
  <c r="AJ36" i="20"/>
  <c r="AH36" i="20"/>
  <c r="BU35" i="20"/>
  <c r="BS35" i="20"/>
  <c r="BB35" i="20"/>
  <c r="AZ35" i="20"/>
  <c r="AJ35" i="20"/>
  <c r="AH35" i="20"/>
  <c r="BU34" i="20"/>
  <c r="BS34" i="20"/>
  <c r="BB34" i="20"/>
  <c r="AZ34" i="20"/>
  <c r="AJ34" i="20"/>
  <c r="AH34" i="20"/>
  <c r="BU33" i="20"/>
  <c r="BS33" i="20"/>
  <c r="BB33" i="20"/>
  <c r="AZ33" i="20"/>
  <c r="AJ33" i="20"/>
  <c r="AH33" i="20"/>
  <c r="BU32" i="20"/>
  <c r="BS32" i="20"/>
  <c r="BB32" i="20"/>
  <c r="AZ32" i="20"/>
  <c r="AJ32" i="20"/>
  <c r="AH32" i="20"/>
  <c r="BU31" i="20"/>
  <c r="BS31" i="20"/>
  <c r="BB31" i="20"/>
  <c r="AZ31" i="20"/>
  <c r="AJ31" i="20"/>
  <c r="AH31" i="20"/>
  <c r="BU30" i="20"/>
  <c r="BS30" i="20"/>
  <c r="BB30" i="20"/>
  <c r="AZ30" i="20"/>
  <c r="AJ30" i="20"/>
  <c r="AH30" i="20"/>
  <c r="BU29" i="20"/>
  <c r="BS29" i="20"/>
  <c r="BB29" i="20"/>
  <c r="AZ29" i="20"/>
  <c r="AJ29" i="20"/>
  <c r="AH29" i="20"/>
  <c r="BU28" i="20"/>
  <c r="BS28" i="20"/>
  <c r="BB28" i="20"/>
  <c r="AZ28" i="20"/>
  <c r="AJ28" i="20"/>
  <c r="AH28" i="20"/>
  <c r="BU27" i="20"/>
  <c r="BS27" i="20"/>
  <c r="BB27" i="20"/>
  <c r="AZ27" i="20"/>
  <c r="AJ27" i="20"/>
  <c r="AH27" i="20"/>
  <c r="BU26" i="20"/>
  <c r="BS26" i="20"/>
  <c r="BB26" i="20"/>
  <c r="AZ26" i="20"/>
  <c r="AJ26" i="20"/>
  <c r="AH26" i="20"/>
  <c r="BU25" i="20"/>
  <c r="BS25" i="20"/>
  <c r="BB25" i="20"/>
  <c r="AZ25" i="20"/>
  <c r="AJ25" i="20"/>
  <c r="AH25" i="20"/>
  <c r="BU24" i="20"/>
  <c r="BS24" i="20"/>
  <c r="BB24" i="20"/>
  <c r="AZ24" i="20"/>
  <c r="AZ48" i="20" s="1"/>
  <c r="AJ24" i="20"/>
  <c r="AH24" i="20"/>
  <c r="BU23" i="20"/>
  <c r="BS23" i="20"/>
  <c r="BB23" i="20"/>
  <c r="AZ23" i="20"/>
  <c r="AJ23" i="20"/>
  <c r="AH23" i="20"/>
  <c r="AH48" i="20" s="1"/>
  <c r="BQ18" i="20"/>
  <c r="BN18" i="20"/>
  <c r="BL18" i="20"/>
  <c r="AX18" i="20"/>
  <c r="AU18" i="20"/>
  <c r="AS18" i="20"/>
  <c r="AF18" i="20"/>
  <c r="AC18" i="20"/>
  <c r="AA18" i="20"/>
  <c r="BS16" i="20"/>
  <c r="BQ16" i="20"/>
  <c r="BN16" i="20"/>
  <c r="BL16" i="20"/>
  <c r="AZ16" i="20"/>
  <c r="AX16" i="20"/>
  <c r="AU16" i="20"/>
  <c r="AS16" i="20"/>
  <c r="AH16" i="20"/>
  <c r="AF16" i="20"/>
  <c r="AC16" i="20"/>
  <c r="AA16" i="20"/>
  <c r="BG14" i="20"/>
  <c r="AN14" i="20"/>
  <c r="V14" i="20"/>
  <c r="BT12" i="20"/>
  <c r="BG12" i="20"/>
  <c r="BA12" i="20"/>
  <c r="AN12" i="20"/>
  <c r="AI12" i="20"/>
  <c r="V12" i="20"/>
  <c r="BT11" i="20"/>
  <c r="BA11" i="20"/>
  <c r="AI11" i="20"/>
  <c r="BG8" i="20"/>
  <c r="AN8" i="20"/>
  <c r="V8" i="20"/>
  <c r="BT6" i="20"/>
  <c r="BG6" i="20"/>
  <c r="BA6" i="20"/>
  <c r="AN6" i="20"/>
  <c r="AI6" i="20"/>
  <c r="V6" i="20"/>
  <c r="BT5" i="20"/>
  <c r="BA5" i="20"/>
  <c r="AI5" i="20"/>
  <c r="BU3" i="20"/>
  <c r="BB3" i="20"/>
  <c r="AJ3" i="20"/>
  <c r="G59" i="19"/>
  <c r="BK59" i="19" s="1"/>
  <c r="BS48" i="19"/>
  <c r="AH48" i="19"/>
  <c r="O48" i="19"/>
  <c r="BS46" i="19"/>
  <c r="BQ46" i="19"/>
  <c r="BI46" i="19"/>
  <c r="AZ46" i="19"/>
  <c r="AX46" i="19"/>
  <c r="AP46" i="19"/>
  <c r="AH46" i="19"/>
  <c r="AF46" i="19"/>
  <c r="X46" i="19"/>
  <c r="Q46" i="19"/>
  <c r="BU46" i="19" s="1"/>
  <c r="BS45" i="19"/>
  <c r="BQ45" i="19"/>
  <c r="AZ45" i="19"/>
  <c r="AX45" i="19"/>
  <c r="AH45" i="19"/>
  <c r="AF45" i="19"/>
  <c r="Q45" i="19"/>
  <c r="BB45" i="19" s="1"/>
  <c r="BU44" i="19"/>
  <c r="BS44" i="19"/>
  <c r="BB44" i="19"/>
  <c r="AZ44" i="19"/>
  <c r="AJ44" i="19"/>
  <c r="AH44" i="19"/>
  <c r="BU43" i="19"/>
  <c r="BS43" i="19"/>
  <c r="BB43" i="19"/>
  <c r="AZ43" i="19"/>
  <c r="AJ43" i="19"/>
  <c r="AH43" i="19"/>
  <c r="BU42" i="19"/>
  <c r="BS42" i="19"/>
  <c r="BB42" i="19"/>
  <c r="AZ42" i="19"/>
  <c r="AJ42" i="19"/>
  <c r="AH42" i="19"/>
  <c r="BU41" i="19"/>
  <c r="BS41" i="19"/>
  <c r="BB41" i="19"/>
  <c r="AZ41" i="19"/>
  <c r="AJ41" i="19"/>
  <c r="AH41" i="19"/>
  <c r="BU40" i="19"/>
  <c r="BS40" i="19"/>
  <c r="BB40" i="19"/>
  <c r="AZ40" i="19"/>
  <c r="AJ40" i="19"/>
  <c r="AH40" i="19"/>
  <c r="BU39" i="19"/>
  <c r="BS39" i="19"/>
  <c r="BB39" i="19"/>
  <c r="AZ39" i="19"/>
  <c r="AJ39" i="19"/>
  <c r="AH39" i="19"/>
  <c r="BU38" i="19"/>
  <c r="BS38" i="19"/>
  <c r="BB38" i="19"/>
  <c r="AZ38" i="19"/>
  <c r="AJ38" i="19"/>
  <c r="AH38" i="19"/>
  <c r="BU37" i="19"/>
  <c r="BS37" i="19"/>
  <c r="BB37" i="19"/>
  <c r="AZ37" i="19"/>
  <c r="AJ37" i="19"/>
  <c r="AH37" i="19"/>
  <c r="BU36" i="19"/>
  <c r="BS36" i="19"/>
  <c r="BB36" i="19"/>
  <c r="AZ36" i="19"/>
  <c r="AJ36" i="19"/>
  <c r="AH36" i="19"/>
  <c r="BU35" i="19"/>
  <c r="BS35" i="19"/>
  <c r="BB35" i="19"/>
  <c r="AZ35" i="19"/>
  <c r="AJ35" i="19"/>
  <c r="AH35" i="19"/>
  <c r="BU34" i="19"/>
  <c r="BS34" i="19"/>
  <c r="BB34" i="19"/>
  <c r="AZ34" i="19"/>
  <c r="AJ34" i="19"/>
  <c r="AH34" i="19"/>
  <c r="BU33" i="19"/>
  <c r="BS33" i="19"/>
  <c r="BB33" i="19"/>
  <c r="AZ33" i="19"/>
  <c r="AJ33" i="19"/>
  <c r="AH33" i="19"/>
  <c r="BU32" i="19"/>
  <c r="BS32" i="19"/>
  <c r="BB32" i="19"/>
  <c r="AZ32" i="19"/>
  <c r="AJ32" i="19"/>
  <c r="AH32" i="19"/>
  <c r="BU31" i="19"/>
  <c r="BS31" i="19"/>
  <c r="BB31" i="19"/>
  <c r="AZ31" i="19"/>
  <c r="AJ31" i="19"/>
  <c r="AH31" i="19"/>
  <c r="BU30" i="19"/>
  <c r="BS30" i="19"/>
  <c r="BB30" i="19"/>
  <c r="AZ30" i="19"/>
  <c r="AJ30" i="19"/>
  <c r="AH30" i="19"/>
  <c r="BU29" i="19"/>
  <c r="BS29" i="19"/>
  <c r="BB29" i="19"/>
  <c r="AZ29" i="19"/>
  <c r="AJ29" i="19"/>
  <c r="AH29" i="19"/>
  <c r="BU28" i="19"/>
  <c r="BS28" i="19"/>
  <c r="BB28" i="19"/>
  <c r="AZ28" i="19"/>
  <c r="AJ28" i="19"/>
  <c r="AH28" i="19"/>
  <c r="BU27" i="19"/>
  <c r="BS27" i="19"/>
  <c r="BB27" i="19"/>
  <c r="AZ27" i="19"/>
  <c r="AJ27" i="19"/>
  <c r="AH27" i="19"/>
  <c r="BU26" i="19"/>
  <c r="BS26" i="19"/>
  <c r="BB26" i="19"/>
  <c r="AZ26" i="19"/>
  <c r="AJ26" i="19"/>
  <c r="AH26" i="19"/>
  <c r="BU25" i="19"/>
  <c r="BS25" i="19"/>
  <c r="BB25" i="19"/>
  <c r="AZ25" i="19"/>
  <c r="AZ48" i="19" s="1"/>
  <c r="AJ25" i="19"/>
  <c r="AH25" i="19"/>
  <c r="BU24" i="19"/>
  <c r="BS24" i="19"/>
  <c r="BB24" i="19"/>
  <c r="AZ24" i="19"/>
  <c r="AJ24" i="19"/>
  <c r="AH24" i="19"/>
  <c r="BU23" i="19"/>
  <c r="BS23" i="19"/>
  <c r="BB23" i="19"/>
  <c r="AZ23" i="19"/>
  <c r="AJ23" i="19"/>
  <c r="AH23" i="19"/>
  <c r="BQ18" i="19"/>
  <c r="BN18" i="19"/>
  <c r="BL18" i="19"/>
  <c r="AX18" i="19"/>
  <c r="AU18" i="19"/>
  <c r="AS18" i="19"/>
  <c r="AF18" i="19"/>
  <c r="AC18" i="19"/>
  <c r="AA18" i="19"/>
  <c r="BS16" i="19"/>
  <c r="BQ16" i="19"/>
  <c r="BN16" i="19"/>
  <c r="BL16" i="19"/>
  <c r="AZ16" i="19"/>
  <c r="AX16" i="19"/>
  <c r="AU16" i="19"/>
  <c r="AS16" i="19"/>
  <c r="AH16" i="19"/>
  <c r="AF16" i="19"/>
  <c r="AC16" i="19"/>
  <c r="AA16" i="19"/>
  <c r="BG14" i="19"/>
  <c r="AN14" i="19"/>
  <c r="V14" i="19"/>
  <c r="BT12" i="19"/>
  <c r="BG12" i="19"/>
  <c r="BA12" i="19"/>
  <c r="AN12" i="19"/>
  <c r="AI12" i="19"/>
  <c r="V12" i="19"/>
  <c r="BT11" i="19"/>
  <c r="BA11" i="19"/>
  <c r="AI11" i="19"/>
  <c r="BG8" i="19"/>
  <c r="AN8" i="19"/>
  <c r="V8" i="19"/>
  <c r="BT6" i="19"/>
  <c r="BG6" i="19"/>
  <c r="BA6" i="19"/>
  <c r="AN6" i="19"/>
  <c r="AI6" i="19"/>
  <c r="V6" i="19"/>
  <c r="BT5" i="19"/>
  <c r="BA5" i="19"/>
  <c r="AI5" i="19"/>
  <c r="BU3" i="19"/>
  <c r="BB3" i="19"/>
  <c r="AJ3" i="19"/>
  <c r="G59" i="18"/>
  <c r="BK59" i="18" s="1"/>
  <c r="O48" i="18"/>
  <c r="BS46" i="18"/>
  <c r="BQ46" i="18"/>
  <c r="BI46" i="18"/>
  <c r="AZ46" i="18"/>
  <c r="AX46" i="18"/>
  <c r="AP46" i="18"/>
  <c r="AH46" i="18"/>
  <c r="AF46" i="18"/>
  <c r="X46" i="18"/>
  <c r="Q46" i="18"/>
  <c r="BU46" i="18" s="1"/>
  <c r="BS45" i="18"/>
  <c r="BQ45" i="18"/>
  <c r="AZ45" i="18"/>
  <c r="AX45" i="18"/>
  <c r="AJ45" i="18"/>
  <c r="AH45" i="18"/>
  <c r="AF45" i="18"/>
  <c r="Q45" i="18"/>
  <c r="BB45" i="18" s="1"/>
  <c r="BU44" i="18"/>
  <c r="BS44" i="18"/>
  <c r="BB44" i="18"/>
  <c r="AZ44" i="18"/>
  <c r="AJ44" i="18"/>
  <c r="AH44" i="18"/>
  <c r="BU43" i="18"/>
  <c r="BS43" i="18"/>
  <c r="BB43" i="18"/>
  <c r="AZ43" i="18"/>
  <c r="AJ43" i="18"/>
  <c r="AH43" i="18"/>
  <c r="BU42" i="18"/>
  <c r="BS42" i="18"/>
  <c r="BB42" i="18"/>
  <c r="AZ42" i="18"/>
  <c r="AJ42" i="18"/>
  <c r="AH42" i="18"/>
  <c r="BU41" i="18"/>
  <c r="BS41" i="18"/>
  <c r="BB41" i="18"/>
  <c r="AZ41" i="18"/>
  <c r="AJ41" i="18"/>
  <c r="AH41" i="18"/>
  <c r="BU40" i="18"/>
  <c r="BS40" i="18"/>
  <c r="BB40" i="18"/>
  <c r="AZ40" i="18"/>
  <c r="AJ40" i="18"/>
  <c r="AH40" i="18"/>
  <c r="BU39" i="18"/>
  <c r="BS39" i="18"/>
  <c r="BB39" i="18"/>
  <c r="AZ39" i="18"/>
  <c r="AJ39" i="18"/>
  <c r="AH39" i="18"/>
  <c r="BU38" i="18"/>
  <c r="BS38" i="18"/>
  <c r="BB38" i="18"/>
  <c r="AZ38" i="18"/>
  <c r="AJ38" i="18"/>
  <c r="AH38" i="18"/>
  <c r="BU37" i="18"/>
  <c r="BS37" i="18"/>
  <c r="BB37" i="18"/>
  <c r="AZ37" i="18"/>
  <c r="AJ37" i="18"/>
  <c r="AH37" i="18"/>
  <c r="BU36" i="18"/>
  <c r="BS36" i="18"/>
  <c r="BB36" i="18"/>
  <c r="AZ36" i="18"/>
  <c r="AJ36" i="18"/>
  <c r="AH36" i="18"/>
  <c r="BU35" i="18"/>
  <c r="BS35" i="18"/>
  <c r="BB35" i="18"/>
  <c r="AZ35" i="18"/>
  <c r="AJ35" i="18"/>
  <c r="AH35" i="18"/>
  <c r="BU34" i="18"/>
  <c r="BS34" i="18"/>
  <c r="BB34" i="18"/>
  <c r="AZ34" i="18"/>
  <c r="AJ34" i="18"/>
  <c r="AH34" i="18"/>
  <c r="BU33" i="18"/>
  <c r="BS33" i="18"/>
  <c r="BB33" i="18"/>
  <c r="AZ33" i="18"/>
  <c r="AJ33" i="18"/>
  <c r="AH33" i="18"/>
  <c r="BU32" i="18"/>
  <c r="BS32" i="18"/>
  <c r="BB32" i="18"/>
  <c r="AZ32" i="18"/>
  <c r="AJ32" i="18"/>
  <c r="AH32" i="18"/>
  <c r="BU31" i="18"/>
  <c r="BS31" i="18"/>
  <c r="BB31" i="18"/>
  <c r="AZ31" i="18"/>
  <c r="AJ31" i="18"/>
  <c r="AH31" i="18"/>
  <c r="BU30" i="18"/>
  <c r="BS30" i="18"/>
  <c r="BB30" i="18"/>
  <c r="AZ30" i="18"/>
  <c r="AJ30" i="18"/>
  <c r="AH30" i="18"/>
  <c r="BU29" i="18"/>
  <c r="BS29" i="18"/>
  <c r="BB29" i="18"/>
  <c r="AZ29" i="18"/>
  <c r="AJ29" i="18"/>
  <c r="AH29" i="18"/>
  <c r="BU28" i="18"/>
  <c r="BS28" i="18"/>
  <c r="BB28" i="18"/>
  <c r="AZ28" i="18"/>
  <c r="AJ28" i="18"/>
  <c r="AH28" i="18"/>
  <c r="BU27" i="18"/>
  <c r="BS27" i="18"/>
  <c r="BB27" i="18"/>
  <c r="AZ27" i="18"/>
  <c r="AJ27" i="18"/>
  <c r="AH27" i="18"/>
  <c r="BU26" i="18"/>
  <c r="BS26" i="18"/>
  <c r="BB26" i="18"/>
  <c r="AZ26" i="18"/>
  <c r="AJ26" i="18"/>
  <c r="AH26" i="18"/>
  <c r="BU25" i="18"/>
  <c r="BS25" i="18"/>
  <c r="BB25" i="18"/>
  <c r="AZ25" i="18"/>
  <c r="AJ25" i="18"/>
  <c r="AH25" i="18"/>
  <c r="BU24" i="18"/>
  <c r="BS24" i="18"/>
  <c r="BB24" i="18"/>
  <c r="AZ24" i="18"/>
  <c r="AZ48" i="18" s="1"/>
  <c r="AJ24" i="18"/>
  <c r="AH24" i="18"/>
  <c r="BU23" i="18"/>
  <c r="BS23" i="18"/>
  <c r="BS48" i="18" s="1"/>
  <c r="BB23" i="18"/>
  <c r="AZ23" i="18"/>
  <c r="AJ23" i="18"/>
  <c r="AH23" i="18"/>
  <c r="AH48" i="18" s="1"/>
  <c r="BQ18" i="18"/>
  <c r="BN18" i="18"/>
  <c r="BL18" i="18"/>
  <c r="AX18" i="18"/>
  <c r="AU18" i="18"/>
  <c r="AS18" i="18"/>
  <c r="AF18" i="18"/>
  <c r="AC18" i="18"/>
  <c r="AA18" i="18"/>
  <c r="BS16" i="18"/>
  <c r="BQ16" i="18"/>
  <c r="BN16" i="18"/>
  <c r="BL16" i="18"/>
  <c r="AZ16" i="18"/>
  <c r="AX16" i="18"/>
  <c r="AU16" i="18"/>
  <c r="AS16" i="18"/>
  <c r="AH16" i="18"/>
  <c r="AF16" i="18"/>
  <c r="AC16" i="18"/>
  <c r="AA16" i="18"/>
  <c r="BG14" i="18"/>
  <c r="AN14" i="18"/>
  <c r="V14" i="18"/>
  <c r="BT12" i="18"/>
  <c r="BG12" i="18"/>
  <c r="BA12" i="18"/>
  <c r="AN12" i="18"/>
  <c r="AI12" i="18"/>
  <c r="V12" i="18"/>
  <c r="BT11" i="18"/>
  <c r="BA11" i="18"/>
  <c r="AI11" i="18"/>
  <c r="BG8" i="18"/>
  <c r="AN8" i="18"/>
  <c r="V8" i="18"/>
  <c r="BT6" i="18"/>
  <c r="BG6" i="18"/>
  <c r="BA6" i="18"/>
  <c r="AN6" i="18"/>
  <c r="AI6" i="18"/>
  <c r="V6" i="18"/>
  <c r="BT5" i="18"/>
  <c r="BA5" i="18"/>
  <c r="AI5" i="18"/>
  <c r="BU3" i="18"/>
  <c r="BB3" i="18"/>
  <c r="AJ3" i="18"/>
  <c r="G59" i="17"/>
  <c r="BK59" i="17" s="1"/>
  <c r="AH48" i="17"/>
  <c r="O48" i="17"/>
  <c r="BS46" i="17"/>
  <c r="BQ46" i="17"/>
  <c r="BI46" i="17"/>
  <c r="AZ46" i="17"/>
  <c r="AX46" i="17"/>
  <c r="AP46" i="17"/>
  <c r="AH46" i="17"/>
  <c r="AF46" i="17"/>
  <c r="X46" i="17"/>
  <c r="Q46" i="17"/>
  <c r="BU46" i="17" s="1"/>
  <c r="BU45" i="17"/>
  <c r="BS45" i="17"/>
  <c r="BQ45" i="17"/>
  <c r="AZ45" i="17"/>
  <c r="AX45" i="17"/>
  <c r="AH45" i="17"/>
  <c r="AF45" i="17"/>
  <c r="Q45" i="17"/>
  <c r="BB45" i="17" s="1"/>
  <c r="BU44" i="17"/>
  <c r="BS44" i="17"/>
  <c r="BB44" i="17"/>
  <c r="AZ44" i="17"/>
  <c r="AJ44" i="17"/>
  <c r="AH44" i="17"/>
  <c r="BU43" i="17"/>
  <c r="BS43" i="17"/>
  <c r="BB43" i="17"/>
  <c r="AZ43" i="17"/>
  <c r="AJ43" i="17"/>
  <c r="AH43" i="17"/>
  <c r="BU42" i="17"/>
  <c r="BS42" i="17"/>
  <c r="BB42" i="17"/>
  <c r="AZ42" i="17"/>
  <c r="AJ42" i="17"/>
  <c r="AH42" i="17"/>
  <c r="BU41" i="17"/>
  <c r="BS41" i="17"/>
  <c r="BB41" i="17"/>
  <c r="AZ41" i="17"/>
  <c r="AJ41" i="17"/>
  <c r="AH41" i="17"/>
  <c r="BU40" i="17"/>
  <c r="BS40" i="17"/>
  <c r="BB40" i="17"/>
  <c r="AZ40" i="17"/>
  <c r="AJ40" i="17"/>
  <c r="AH40" i="17"/>
  <c r="BU39" i="17"/>
  <c r="BS39" i="17"/>
  <c r="BB39" i="17"/>
  <c r="AZ39" i="17"/>
  <c r="AJ39" i="17"/>
  <c r="AH39" i="17"/>
  <c r="BU38" i="17"/>
  <c r="BS38" i="17"/>
  <c r="BB38" i="17"/>
  <c r="AZ38" i="17"/>
  <c r="AJ38" i="17"/>
  <c r="AH38" i="17"/>
  <c r="BU37" i="17"/>
  <c r="BS37" i="17"/>
  <c r="BB37" i="17"/>
  <c r="AZ37" i="17"/>
  <c r="AJ37" i="17"/>
  <c r="AH37" i="17"/>
  <c r="BU36" i="17"/>
  <c r="BS36" i="17"/>
  <c r="BB36" i="17"/>
  <c r="AZ36" i="17"/>
  <c r="AJ36" i="17"/>
  <c r="AH36" i="17"/>
  <c r="BU35" i="17"/>
  <c r="BS35" i="17"/>
  <c r="BB35" i="17"/>
  <c r="AZ35" i="17"/>
  <c r="AJ35" i="17"/>
  <c r="AH35" i="17"/>
  <c r="BU34" i="17"/>
  <c r="BS34" i="17"/>
  <c r="BB34" i="17"/>
  <c r="AZ34" i="17"/>
  <c r="AJ34" i="17"/>
  <c r="AH34" i="17"/>
  <c r="BU33" i="17"/>
  <c r="BS33" i="17"/>
  <c r="BB33" i="17"/>
  <c r="AZ33" i="17"/>
  <c r="AJ33" i="17"/>
  <c r="AH33" i="17"/>
  <c r="BU32" i="17"/>
  <c r="BS32" i="17"/>
  <c r="BB32" i="17"/>
  <c r="AZ32" i="17"/>
  <c r="AJ32" i="17"/>
  <c r="AH32" i="17"/>
  <c r="BU31" i="17"/>
  <c r="BS31" i="17"/>
  <c r="BB31" i="17"/>
  <c r="AZ31" i="17"/>
  <c r="AJ31" i="17"/>
  <c r="AH31" i="17"/>
  <c r="BU30" i="17"/>
  <c r="BS30" i="17"/>
  <c r="BB30" i="17"/>
  <c r="AZ30" i="17"/>
  <c r="AJ30" i="17"/>
  <c r="AH30" i="17"/>
  <c r="BU29" i="17"/>
  <c r="BS29" i="17"/>
  <c r="BB29" i="17"/>
  <c r="AZ29" i="17"/>
  <c r="AJ29" i="17"/>
  <c r="AH29" i="17"/>
  <c r="BU28" i="17"/>
  <c r="BS28" i="17"/>
  <c r="BB28" i="17"/>
  <c r="AZ28" i="17"/>
  <c r="AJ28" i="17"/>
  <c r="AH28" i="17"/>
  <c r="BU27" i="17"/>
  <c r="BS27" i="17"/>
  <c r="BB27" i="17"/>
  <c r="AZ27" i="17"/>
  <c r="AJ27" i="17"/>
  <c r="AH27" i="17"/>
  <c r="BU26" i="17"/>
  <c r="BS26" i="17"/>
  <c r="BB26" i="17"/>
  <c r="AZ26" i="17"/>
  <c r="AJ26" i="17"/>
  <c r="AH26" i="17"/>
  <c r="BU25" i="17"/>
  <c r="BS25" i="17"/>
  <c r="BB25" i="17"/>
  <c r="AZ25" i="17"/>
  <c r="AZ48" i="17" s="1"/>
  <c r="AJ25" i="17"/>
  <c r="AH25" i="17"/>
  <c r="BU24" i="17"/>
  <c r="BS24" i="17"/>
  <c r="BB24" i="17"/>
  <c r="AZ24" i="17"/>
  <c r="AJ24" i="17"/>
  <c r="AH24" i="17"/>
  <c r="BU23" i="17"/>
  <c r="BS23" i="17"/>
  <c r="BS48" i="17" s="1"/>
  <c r="BB23" i="17"/>
  <c r="AZ23" i="17"/>
  <c r="AJ23" i="17"/>
  <c r="AH23" i="17"/>
  <c r="BQ18" i="17"/>
  <c r="BN18" i="17"/>
  <c r="BL18" i="17"/>
  <c r="AX18" i="17"/>
  <c r="AU18" i="17"/>
  <c r="AS18" i="17"/>
  <c r="AF18" i="17"/>
  <c r="AC18" i="17"/>
  <c r="AA18" i="17"/>
  <c r="BS16" i="17"/>
  <c r="BQ16" i="17"/>
  <c r="BN16" i="17"/>
  <c r="BL16" i="17"/>
  <c r="AZ16" i="17"/>
  <c r="AX16" i="17"/>
  <c r="AU16" i="17"/>
  <c r="AS16" i="17"/>
  <c r="AH16" i="17"/>
  <c r="AF16" i="17"/>
  <c r="AC16" i="17"/>
  <c r="AA16" i="17"/>
  <c r="BG14" i="17"/>
  <c r="AN14" i="17"/>
  <c r="V14" i="17"/>
  <c r="BT12" i="17"/>
  <c r="BG12" i="17"/>
  <c r="BA12" i="17"/>
  <c r="AN12" i="17"/>
  <c r="AI12" i="17"/>
  <c r="V12" i="17"/>
  <c r="BT11" i="17"/>
  <c r="BA11" i="17"/>
  <c r="AI11" i="17"/>
  <c r="BG8" i="17"/>
  <c r="AN8" i="17"/>
  <c r="V8" i="17"/>
  <c r="BT6" i="17"/>
  <c r="BG6" i="17"/>
  <c r="BA6" i="17"/>
  <c r="AN6" i="17"/>
  <c r="AI6" i="17"/>
  <c r="V6" i="17"/>
  <c r="BT5" i="17"/>
  <c r="BA5" i="17"/>
  <c r="AI5" i="17"/>
  <c r="BU3" i="17"/>
  <c r="BB3" i="17"/>
  <c r="AJ3" i="17"/>
  <c r="G59" i="14"/>
  <c r="G59" i="16"/>
  <c r="BK59" i="16" s="1"/>
  <c r="O48" i="16"/>
  <c r="BS46" i="16"/>
  <c r="BQ46" i="16"/>
  <c r="BI46" i="16"/>
  <c r="AZ46" i="16"/>
  <c r="AX46" i="16"/>
  <c r="AP46" i="16"/>
  <c r="AH46" i="16"/>
  <c r="AF46" i="16"/>
  <c r="X46" i="16"/>
  <c r="Q46" i="16"/>
  <c r="BU46" i="16" s="1"/>
  <c r="BS45" i="16"/>
  <c r="BQ45" i="16"/>
  <c r="AZ45" i="16"/>
  <c r="AX45" i="16"/>
  <c r="AH45" i="16"/>
  <c r="AF45" i="16"/>
  <c r="Q45" i="16"/>
  <c r="BB45" i="16" s="1"/>
  <c r="BU44" i="16"/>
  <c r="BS44" i="16"/>
  <c r="BB44" i="16"/>
  <c r="AZ44" i="16"/>
  <c r="AJ44" i="16"/>
  <c r="AH44" i="16"/>
  <c r="BU43" i="16"/>
  <c r="BS43" i="16"/>
  <c r="BB43" i="16"/>
  <c r="AZ43" i="16"/>
  <c r="AJ43" i="16"/>
  <c r="AH43" i="16"/>
  <c r="BU42" i="16"/>
  <c r="BS42" i="16"/>
  <c r="BB42" i="16"/>
  <c r="AZ42" i="16"/>
  <c r="AJ42" i="16"/>
  <c r="AH42" i="16"/>
  <c r="BU41" i="16"/>
  <c r="BS41" i="16"/>
  <c r="BB41" i="16"/>
  <c r="AZ41" i="16"/>
  <c r="AJ41" i="16"/>
  <c r="AH41" i="16"/>
  <c r="BU40" i="16"/>
  <c r="BS40" i="16"/>
  <c r="BB40" i="16"/>
  <c r="AZ40" i="16"/>
  <c r="AJ40" i="16"/>
  <c r="AH40" i="16"/>
  <c r="BU39" i="16"/>
  <c r="BS39" i="16"/>
  <c r="BB39" i="16"/>
  <c r="AZ39" i="16"/>
  <c r="AJ39" i="16"/>
  <c r="AH39" i="16"/>
  <c r="BU38" i="16"/>
  <c r="BS38" i="16"/>
  <c r="BB38" i="16"/>
  <c r="AZ38" i="16"/>
  <c r="AJ38" i="16"/>
  <c r="AH38" i="16"/>
  <c r="BU37" i="16"/>
  <c r="BS37" i="16"/>
  <c r="BB37" i="16"/>
  <c r="AZ37" i="16"/>
  <c r="AJ37" i="16"/>
  <c r="AH37" i="16"/>
  <c r="BU36" i="16"/>
  <c r="BS36" i="16"/>
  <c r="BB36" i="16"/>
  <c r="AZ36" i="16"/>
  <c r="AJ36" i="16"/>
  <c r="AH36" i="16"/>
  <c r="BU35" i="16"/>
  <c r="BS35" i="16"/>
  <c r="BB35" i="16"/>
  <c r="AZ35" i="16"/>
  <c r="AJ35" i="16"/>
  <c r="AH35" i="16"/>
  <c r="BU34" i="16"/>
  <c r="BS34" i="16"/>
  <c r="BB34" i="16"/>
  <c r="AZ34" i="16"/>
  <c r="AJ34" i="16"/>
  <c r="AH34" i="16"/>
  <c r="BU33" i="16"/>
  <c r="BS33" i="16"/>
  <c r="BB33" i="16"/>
  <c r="AZ33" i="16"/>
  <c r="AJ33" i="16"/>
  <c r="AH33" i="16"/>
  <c r="BU32" i="16"/>
  <c r="BS32" i="16"/>
  <c r="BB32" i="16"/>
  <c r="AZ32" i="16"/>
  <c r="AJ32" i="16"/>
  <c r="AH32" i="16"/>
  <c r="BU31" i="16"/>
  <c r="BS31" i="16"/>
  <c r="BB31" i="16"/>
  <c r="AZ31" i="16"/>
  <c r="AJ31" i="16"/>
  <c r="AH31" i="16"/>
  <c r="BU30" i="16"/>
  <c r="BS30" i="16"/>
  <c r="BB30" i="16"/>
  <c r="AZ30" i="16"/>
  <c r="AJ30" i="16"/>
  <c r="AH30" i="16"/>
  <c r="BU29" i="16"/>
  <c r="BS29" i="16"/>
  <c r="BB29" i="16"/>
  <c r="AZ29" i="16"/>
  <c r="AJ29" i="16"/>
  <c r="AH29" i="16"/>
  <c r="BU28" i="16"/>
  <c r="BS28" i="16"/>
  <c r="BB28" i="16"/>
  <c r="AZ28" i="16"/>
  <c r="AJ28" i="16"/>
  <c r="AH28" i="16"/>
  <c r="BU27" i="16"/>
  <c r="BS27" i="16"/>
  <c r="BB27" i="16"/>
  <c r="AZ27" i="16"/>
  <c r="AJ27" i="16"/>
  <c r="AH27" i="16"/>
  <c r="BU26" i="16"/>
  <c r="BS26" i="16"/>
  <c r="BB26" i="16"/>
  <c r="AZ26" i="16"/>
  <c r="AJ26" i="16"/>
  <c r="AH26" i="16"/>
  <c r="BU25" i="16"/>
  <c r="BS25" i="16"/>
  <c r="BB25" i="16"/>
  <c r="AZ25" i="16"/>
  <c r="AJ25" i="16"/>
  <c r="AH25" i="16"/>
  <c r="BU24" i="16"/>
  <c r="BS24" i="16"/>
  <c r="BB24" i="16"/>
  <c r="AZ24" i="16"/>
  <c r="AJ24" i="16"/>
  <c r="AH24" i="16"/>
  <c r="BU23" i="16"/>
  <c r="BS23" i="16"/>
  <c r="BB23" i="16"/>
  <c r="AZ23" i="16"/>
  <c r="AJ23" i="16"/>
  <c r="AH23" i="16"/>
  <c r="AH48" i="16" s="1"/>
  <c r="BQ18" i="16"/>
  <c r="BN18" i="16"/>
  <c r="BL18" i="16"/>
  <c r="AX18" i="16"/>
  <c r="AU18" i="16"/>
  <c r="AS18" i="16"/>
  <c r="AF18" i="16"/>
  <c r="AC18" i="16"/>
  <c r="AA18" i="16"/>
  <c r="BS16" i="16"/>
  <c r="BQ16" i="16"/>
  <c r="BN16" i="16"/>
  <c r="BL16" i="16"/>
  <c r="AZ16" i="16"/>
  <c r="AX16" i="16"/>
  <c r="AU16" i="16"/>
  <c r="AS16" i="16"/>
  <c r="AH16" i="16"/>
  <c r="AF16" i="16"/>
  <c r="AC16" i="16"/>
  <c r="AA16" i="16"/>
  <c r="BG14" i="16"/>
  <c r="AN14" i="16"/>
  <c r="V14" i="16"/>
  <c r="BT12" i="16"/>
  <c r="BG12" i="16"/>
  <c r="BA12" i="16"/>
  <c r="AN12" i="16"/>
  <c r="AI12" i="16"/>
  <c r="V12" i="16"/>
  <c r="BT11" i="16"/>
  <c r="BA11" i="16"/>
  <c r="AI11" i="16"/>
  <c r="BG8" i="16"/>
  <c r="AN8" i="16"/>
  <c r="V8" i="16"/>
  <c r="BT6" i="16"/>
  <c r="BG6" i="16"/>
  <c r="BA6" i="16"/>
  <c r="AN6" i="16"/>
  <c r="AI6" i="16"/>
  <c r="V6" i="16"/>
  <c r="BT5" i="16"/>
  <c r="BA5" i="16"/>
  <c r="AI5" i="16"/>
  <c r="BU3" i="16"/>
  <c r="BB3" i="16"/>
  <c r="AJ3" i="16"/>
  <c r="G59" i="15"/>
  <c r="BK59" i="15" s="1"/>
  <c r="O48" i="15"/>
  <c r="BS46" i="15"/>
  <c r="BQ46" i="15"/>
  <c r="BI46" i="15"/>
  <c r="AZ46" i="15"/>
  <c r="AX46" i="15"/>
  <c r="AP46" i="15"/>
  <c r="AH46" i="15"/>
  <c r="AF46" i="15"/>
  <c r="X46" i="15"/>
  <c r="Q46" i="15"/>
  <c r="BU46" i="15" s="1"/>
  <c r="BS45" i="15"/>
  <c r="BQ45" i="15"/>
  <c r="AZ45" i="15"/>
  <c r="AX45" i="15"/>
  <c r="AH45" i="15"/>
  <c r="AF45" i="15"/>
  <c r="Q45" i="15"/>
  <c r="BB45" i="15" s="1"/>
  <c r="BU44" i="15"/>
  <c r="BS44" i="15"/>
  <c r="BB44" i="15"/>
  <c r="AZ44" i="15"/>
  <c r="AJ44" i="15"/>
  <c r="AH44" i="15"/>
  <c r="BU43" i="15"/>
  <c r="BS43" i="15"/>
  <c r="BB43" i="15"/>
  <c r="AZ43" i="15"/>
  <c r="AJ43" i="15"/>
  <c r="AH43" i="15"/>
  <c r="BU42" i="15"/>
  <c r="BS42" i="15"/>
  <c r="BB42" i="15"/>
  <c r="AZ42" i="15"/>
  <c r="AJ42" i="15"/>
  <c r="AH42" i="15"/>
  <c r="BU41" i="15"/>
  <c r="BS41" i="15"/>
  <c r="BB41" i="15"/>
  <c r="AZ41" i="15"/>
  <c r="AJ41" i="15"/>
  <c r="AH41" i="15"/>
  <c r="BU40" i="15"/>
  <c r="BS40" i="15"/>
  <c r="BB40" i="15"/>
  <c r="AZ40" i="15"/>
  <c r="AJ40" i="15"/>
  <c r="AH40" i="15"/>
  <c r="BU39" i="15"/>
  <c r="BS39" i="15"/>
  <c r="BB39" i="15"/>
  <c r="AZ39" i="15"/>
  <c r="AJ39" i="15"/>
  <c r="AH39" i="15"/>
  <c r="BU38" i="15"/>
  <c r="BS38" i="15"/>
  <c r="BB38" i="15"/>
  <c r="AZ38" i="15"/>
  <c r="AJ38" i="15"/>
  <c r="AH38" i="15"/>
  <c r="BU37" i="15"/>
  <c r="BS37" i="15"/>
  <c r="BB37" i="15"/>
  <c r="AZ37" i="15"/>
  <c r="AJ37" i="15"/>
  <c r="AH37" i="15"/>
  <c r="BU36" i="15"/>
  <c r="BS36" i="15"/>
  <c r="BB36" i="15"/>
  <c r="AZ36" i="15"/>
  <c r="AJ36" i="15"/>
  <c r="AH36" i="15"/>
  <c r="BU35" i="15"/>
  <c r="BS35" i="15"/>
  <c r="BB35" i="15"/>
  <c r="AZ35" i="15"/>
  <c r="AJ35" i="15"/>
  <c r="AH35" i="15"/>
  <c r="BU34" i="15"/>
  <c r="BS34" i="15"/>
  <c r="BB34" i="15"/>
  <c r="AZ34" i="15"/>
  <c r="AJ34" i="15"/>
  <c r="AH34" i="15"/>
  <c r="BU33" i="15"/>
  <c r="BS33" i="15"/>
  <c r="BB33" i="15"/>
  <c r="AZ33" i="15"/>
  <c r="AJ33" i="15"/>
  <c r="AH33" i="15"/>
  <c r="BU32" i="15"/>
  <c r="BS32" i="15"/>
  <c r="BB32" i="15"/>
  <c r="AZ32" i="15"/>
  <c r="AJ32" i="15"/>
  <c r="AH32" i="15"/>
  <c r="BU31" i="15"/>
  <c r="BS31" i="15"/>
  <c r="BB31" i="15"/>
  <c r="AZ31" i="15"/>
  <c r="AJ31" i="15"/>
  <c r="AH31" i="15"/>
  <c r="BU30" i="15"/>
  <c r="BS30" i="15"/>
  <c r="BB30" i="15"/>
  <c r="AZ30" i="15"/>
  <c r="AJ30" i="15"/>
  <c r="AH30" i="15"/>
  <c r="BU29" i="15"/>
  <c r="BS29" i="15"/>
  <c r="BB29" i="15"/>
  <c r="AZ29" i="15"/>
  <c r="AJ29" i="15"/>
  <c r="AH29" i="15"/>
  <c r="BU28" i="15"/>
  <c r="BS28" i="15"/>
  <c r="BB28" i="15"/>
  <c r="AZ28" i="15"/>
  <c r="AJ28" i="15"/>
  <c r="AH28" i="15"/>
  <c r="BU27" i="15"/>
  <c r="BS27" i="15"/>
  <c r="BB27" i="15"/>
  <c r="AZ27" i="15"/>
  <c r="AJ27" i="15"/>
  <c r="AH27" i="15"/>
  <c r="BU26" i="15"/>
  <c r="BS26" i="15"/>
  <c r="BB26" i="15"/>
  <c r="AZ26" i="15"/>
  <c r="AJ26" i="15"/>
  <c r="AH26" i="15"/>
  <c r="BU25" i="15"/>
  <c r="BS25" i="15"/>
  <c r="BB25" i="15"/>
  <c r="AZ25" i="15"/>
  <c r="AZ48" i="15" s="1"/>
  <c r="AJ25" i="15"/>
  <c r="AH25" i="15"/>
  <c r="AH48" i="15" s="1"/>
  <c r="BU24" i="15"/>
  <c r="BS24" i="15"/>
  <c r="BB24" i="15"/>
  <c r="AZ24" i="15"/>
  <c r="AJ24" i="15"/>
  <c r="AH24" i="15"/>
  <c r="BU23" i="15"/>
  <c r="BS23" i="15"/>
  <c r="BS48" i="15" s="1"/>
  <c r="BB23" i="15"/>
  <c r="AZ23" i="15"/>
  <c r="AJ23" i="15"/>
  <c r="AH23" i="15"/>
  <c r="BQ18" i="15"/>
  <c r="BN18" i="15"/>
  <c r="BL18" i="15"/>
  <c r="AX18" i="15"/>
  <c r="AU18" i="15"/>
  <c r="AS18" i="15"/>
  <c r="AF18" i="15"/>
  <c r="AC18" i="15"/>
  <c r="AA18" i="15"/>
  <c r="BS16" i="15"/>
  <c r="BQ16" i="15"/>
  <c r="BN16" i="15"/>
  <c r="BL16" i="15"/>
  <c r="AZ16" i="15"/>
  <c r="AX16" i="15"/>
  <c r="AU16" i="15"/>
  <c r="AS16" i="15"/>
  <c r="AH16" i="15"/>
  <c r="AF16" i="15"/>
  <c r="AC16" i="15"/>
  <c r="AA16" i="15"/>
  <c r="BG14" i="15"/>
  <c r="AN14" i="15"/>
  <c r="V14" i="15"/>
  <c r="BT12" i="15"/>
  <c r="BG12" i="15"/>
  <c r="BA12" i="15"/>
  <c r="AN12" i="15"/>
  <c r="AI12" i="15"/>
  <c r="V12" i="15"/>
  <c r="BT11" i="15"/>
  <c r="BA11" i="15"/>
  <c r="AI11" i="15"/>
  <c r="BG8" i="15"/>
  <c r="AN8" i="15"/>
  <c r="V8" i="15"/>
  <c r="BT6" i="15"/>
  <c r="BG6" i="15"/>
  <c r="BA6" i="15"/>
  <c r="AN6" i="15"/>
  <c r="AI6" i="15"/>
  <c r="V6" i="15"/>
  <c r="BT5" i="15"/>
  <c r="BA5" i="15"/>
  <c r="AI5" i="15"/>
  <c r="BU3" i="15"/>
  <c r="BB3" i="15"/>
  <c r="AJ3" i="15"/>
  <c r="BK59" i="14"/>
  <c r="O48" i="14"/>
  <c r="BS46" i="14"/>
  <c r="BQ46" i="14"/>
  <c r="BI46" i="14"/>
  <c r="AZ46" i="14"/>
  <c r="AX46" i="14"/>
  <c r="AP46" i="14"/>
  <c r="AH46" i="14"/>
  <c r="AF46" i="14"/>
  <c r="X46" i="14"/>
  <c r="Q46" i="14"/>
  <c r="BU46" i="14" s="1"/>
  <c r="BS45" i="14"/>
  <c r="BQ45" i="14"/>
  <c r="AZ45" i="14"/>
  <c r="AX45" i="14"/>
  <c r="AH45" i="14"/>
  <c r="AF45" i="14"/>
  <c r="Q45" i="14"/>
  <c r="BB45" i="14" s="1"/>
  <c r="BU44" i="14"/>
  <c r="BS44" i="14"/>
  <c r="BB44" i="14"/>
  <c r="AZ44" i="14"/>
  <c r="AJ44" i="14"/>
  <c r="AH44" i="14"/>
  <c r="BU43" i="14"/>
  <c r="BS43" i="14"/>
  <c r="BB43" i="14"/>
  <c r="AZ43" i="14"/>
  <c r="AJ43" i="14"/>
  <c r="AH43" i="14"/>
  <c r="BU42" i="14"/>
  <c r="BS42" i="14"/>
  <c r="BB42" i="14"/>
  <c r="AZ42" i="14"/>
  <c r="AJ42" i="14"/>
  <c r="AH42" i="14"/>
  <c r="BU41" i="14"/>
  <c r="BS41" i="14"/>
  <c r="BB41" i="14"/>
  <c r="AZ41" i="14"/>
  <c r="AJ41" i="14"/>
  <c r="AH41" i="14"/>
  <c r="BU40" i="14"/>
  <c r="BS40" i="14"/>
  <c r="BB40" i="14"/>
  <c r="AZ40" i="14"/>
  <c r="AJ40" i="14"/>
  <c r="AH40" i="14"/>
  <c r="BU39" i="14"/>
  <c r="BS39" i="14"/>
  <c r="BB39" i="14"/>
  <c r="AZ39" i="14"/>
  <c r="AJ39" i="14"/>
  <c r="AH39" i="14"/>
  <c r="BU38" i="14"/>
  <c r="BS38" i="14"/>
  <c r="BB38" i="14"/>
  <c r="AZ38" i="14"/>
  <c r="AJ38" i="14"/>
  <c r="AH38" i="14"/>
  <c r="BU37" i="14"/>
  <c r="BS37" i="14"/>
  <c r="BB37" i="14"/>
  <c r="AZ37" i="14"/>
  <c r="AJ37" i="14"/>
  <c r="AH37" i="14"/>
  <c r="BU36" i="14"/>
  <c r="BS36" i="14"/>
  <c r="BB36" i="14"/>
  <c r="AZ36" i="14"/>
  <c r="AJ36" i="14"/>
  <c r="AH36" i="14"/>
  <c r="BU35" i="14"/>
  <c r="BS35" i="14"/>
  <c r="BB35" i="14"/>
  <c r="AZ35" i="14"/>
  <c r="AJ35" i="14"/>
  <c r="AH35" i="14"/>
  <c r="BU34" i="14"/>
  <c r="BS34" i="14"/>
  <c r="BB34" i="14"/>
  <c r="AZ34" i="14"/>
  <c r="AJ34" i="14"/>
  <c r="AH34" i="14"/>
  <c r="BU33" i="14"/>
  <c r="BS33" i="14"/>
  <c r="BB33" i="14"/>
  <c r="AZ33" i="14"/>
  <c r="AJ33" i="14"/>
  <c r="AH33" i="14"/>
  <c r="BU32" i="14"/>
  <c r="BS32" i="14"/>
  <c r="BB32" i="14"/>
  <c r="AZ32" i="14"/>
  <c r="AJ32" i="14"/>
  <c r="AH32" i="14"/>
  <c r="BU31" i="14"/>
  <c r="BS31" i="14"/>
  <c r="BB31" i="14"/>
  <c r="AZ31" i="14"/>
  <c r="AJ31" i="14"/>
  <c r="AH31" i="14"/>
  <c r="BU30" i="14"/>
  <c r="BS30" i="14"/>
  <c r="BB30" i="14"/>
  <c r="AZ30" i="14"/>
  <c r="AJ30" i="14"/>
  <c r="AH30" i="14"/>
  <c r="BU29" i="14"/>
  <c r="BS29" i="14"/>
  <c r="BB29" i="14"/>
  <c r="AZ29" i="14"/>
  <c r="AJ29" i="14"/>
  <c r="AH29" i="14"/>
  <c r="BU28" i="14"/>
  <c r="BS28" i="14"/>
  <c r="BB28" i="14"/>
  <c r="AZ28" i="14"/>
  <c r="AJ28" i="14"/>
  <c r="AH28" i="14"/>
  <c r="BU27" i="14"/>
  <c r="BS27" i="14"/>
  <c r="BB27" i="14"/>
  <c r="AZ27" i="14"/>
  <c r="AJ27" i="14"/>
  <c r="AH27" i="14"/>
  <c r="BU26" i="14"/>
  <c r="BS26" i="14"/>
  <c r="BB26" i="14"/>
  <c r="AZ26" i="14"/>
  <c r="AJ26" i="14"/>
  <c r="AH26" i="14"/>
  <c r="BU25" i="14"/>
  <c r="BS25" i="14"/>
  <c r="BB25" i="14"/>
  <c r="AZ25" i="14"/>
  <c r="AZ48" i="14" s="1"/>
  <c r="AJ25" i="14"/>
  <c r="AH25" i="14"/>
  <c r="BU24" i="14"/>
  <c r="BS24" i="14"/>
  <c r="BB24" i="14"/>
  <c r="AZ24" i="14"/>
  <c r="AJ24" i="14"/>
  <c r="AH24" i="14"/>
  <c r="AH48" i="14" s="1"/>
  <c r="BU23" i="14"/>
  <c r="BS23" i="14"/>
  <c r="BS48" i="14" s="1"/>
  <c r="BB23" i="14"/>
  <c r="AZ23" i="14"/>
  <c r="AJ23" i="14"/>
  <c r="AH23" i="14"/>
  <c r="BQ18" i="14"/>
  <c r="BN18" i="14"/>
  <c r="BL18" i="14"/>
  <c r="AX18" i="14"/>
  <c r="AU18" i="14"/>
  <c r="AS18" i="14"/>
  <c r="AF18" i="14"/>
  <c r="AC18" i="14"/>
  <c r="AA18" i="14"/>
  <c r="BS16" i="14"/>
  <c r="BQ16" i="14"/>
  <c r="BN16" i="14"/>
  <c r="BL16" i="14"/>
  <c r="AZ16" i="14"/>
  <c r="AX16" i="14"/>
  <c r="AU16" i="14"/>
  <c r="AS16" i="14"/>
  <c r="AH16" i="14"/>
  <c r="AF16" i="14"/>
  <c r="AC16" i="14"/>
  <c r="AA16" i="14"/>
  <c r="BG14" i="14"/>
  <c r="AN14" i="14"/>
  <c r="V14" i="14"/>
  <c r="BT12" i="14"/>
  <c r="BG12" i="14"/>
  <c r="BA12" i="14"/>
  <c r="AN12" i="14"/>
  <c r="AI12" i="14"/>
  <c r="V12" i="14"/>
  <c r="BT11" i="14"/>
  <c r="BA11" i="14"/>
  <c r="AI11" i="14"/>
  <c r="BG8" i="14"/>
  <c r="AN8" i="14"/>
  <c r="V8" i="14"/>
  <c r="BT6" i="14"/>
  <c r="BG6" i="14"/>
  <c r="BA6" i="14"/>
  <c r="AN6" i="14"/>
  <c r="AI6" i="14"/>
  <c r="V6" i="14"/>
  <c r="BT5" i="14"/>
  <c r="BA5" i="14"/>
  <c r="AI5" i="14"/>
  <c r="BU3" i="14"/>
  <c r="BB3" i="14"/>
  <c r="AJ3" i="14"/>
  <c r="G59" i="13"/>
  <c r="BK59" i="13" s="1"/>
  <c r="O48" i="13"/>
  <c r="BS46" i="13"/>
  <c r="BQ46" i="13"/>
  <c r="BI46" i="13"/>
  <c r="AZ46" i="13"/>
  <c r="AX46" i="13"/>
  <c r="AP46" i="13"/>
  <c r="AH46" i="13"/>
  <c r="AF46" i="13"/>
  <c r="X46" i="13"/>
  <c r="Q46" i="13"/>
  <c r="BU46" i="13" s="1"/>
  <c r="BS45" i="13"/>
  <c r="BQ45" i="13"/>
  <c r="AZ45" i="13"/>
  <c r="AX45" i="13"/>
  <c r="AH45" i="13"/>
  <c r="AF45" i="13"/>
  <c r="Q45" i="13"/>
  <c r="BB45" i="13" s="1"/>
  <c r="BU44" i="13"/>
  <c r="BS44" i="13"/>
  <c r="BB44" i="13"/>
  <c r="AZ44" i="13"/>
  <c r="AJ44" i="13"/>
  <c r="AH44" i="13"/>
  <c r="BU43" i="13"/>
  <c r="BS43" i="13"/>
  <c r="BB43" i="13"/>
  <c r="AZ43" i="13"/>
  <c r="AJ43" i="13"/>
  <c r="AH43" i="13"/>
  <c r="BU42" i="13"/>
  <c r="BS42" i="13"/>
  <c r="BB42" i="13"/>
  <c r="AZ42" i="13"/>
  <c r="AJ42" i="13"/>
  <c r="AH42" i="13"/>
  <c r="BU41" i="13"/>
  <c r="BS41" i="13"/>
  <c r="BB41" i="13"/>
  <c r="AZ41" i="13"/>
  <c r="AJ41" i="13"/>
  <c r="AH41" i="13"/>
  <c r="BU40" i="13"/>
  <c r="BS40" i="13"/>
  <c r="BB40" i="13"/>
  <c r="AZ40" i="13"/>
  <c r="AJ40" i="13"/>
  <c r="AH40" i="13"/>
  <c r="BU39" i="13"/>
  <c r="BS39" i="13"/>
  <c r="BB39" i="13"/>
  <c r="AZ39" i="13"/>
  <c r="AJ39" i="13"/>
  <c r="AH39" i="13"/>
  <c r="BU38" i="13"/>
  <c r="BS38" i="13"/>
  <c r="BB38" i="13"/>
  <c r="AZ38" i="13"/>
  <c r="AJ38" i="13"/>
  <c r="AH38" i="13"/>
  <c r="BU37" i="13"/>
  <c r="BS37" i="13"/>
  <c r="BB37" i="13"/>
  <c r="AZ37" i="13"/>
  <c r="AJ37" i="13"/>
  <c r="AH37" i="13"/>
  <c r="BU36" i="13"/>
  <c r="BS36" i="13"/>
  <c r="BB36" i="13"/>
  <c r="AZ36" i="13"/>
  <c r="AJ36" i="13"/>
  <c r="AH36" i="13"/>
  <c r="BU35" i="13"/>
  <c r="BS35" i="13"/>
  <c r="BB35" i="13"/>
  <c r="AZ35" i="13"/>
  <c r="AJ35" i="13"/>
  <c r="AH35" i="13"/>
  <c r="BU34" i="13"/>
  <c r="BS34" i="13"/>
  <c r="BB34" i="13"/>
  <c r="AZ34" i="13"/>
  <c r="AJ34" i="13"/>
  <c r="AH34" i="13"/>
  <c r="BU33" i="13"/>
  <c r="BS33" i="13"/>
  <c r="BB33" i="13"/>
  <c r="AZ33" i="13"/>
  <c r="AJ33" i="13"/>
  <c r="AH33" i="13"/>
  <c r="BU32" i="13"/>
  <c r="BS32" i="13"/>
  <c r="BB32" i="13"/>
  <c r="AZ32" i="13"/>
  <c r="AJ32" i="13"/>
  <c r="AH32" i="13"/>
  <c r="BU31" i="13"/>
  <c r="BS31" i="13"/>
  <c r="BB31" i="13"/>
  <c r="AZ31" i="13"/>
  <c r="AJ31" i="13"/>
  <c r="AH31" i="13"/>
  <c r="BU30" i="13"/>
  <c r="BS30" i="13"/>
  <c r="BB30" i="13"/>
  <c r="AZ30" i="13"/>
  <c r="AJ30" i="13"/>
  <c r="AH30" i="13"/>
  <c r="BU29" i="13"/>
  <c r="BS29" i="13"/>
  <c r="BB29" i="13"/>
  <c r="AZ29" i="13"/>
  <c r="AJ29" i="13"/>
  <c r="AH29" i="13"/>
  <c r="BU28" i="13"/>
  <c r="BS28" i="13"/>
  <c r="BB28" i="13"/>
  <c r="AZ28" i="13"/>
  <c r="AJ28" i="13"/>
  <c r="AH28" i="13"/>
  <c r="BU27" i="13"/>
  <c r="BS27" i="13"/>
  <c r="BB27" i="13"/>
  <c r="AZ27" i="13"/>
  <c r="AJ27" i="13"/>
  <c r="AH27" i="13"/>
  <c r="BU26" i="13"/>
  <c r="BS26" i="13"/>
  <c r="BB26" i="13"/>
  <c r="AZ26" i="13"/>
  <c r="AJ26" i="13"/>
  <c r="AH26" i="13"/>
  <c r="BU25" i="13"/>
  <c r="BS25" i="13"/>
  <c r="BB25" i="13"/>
  <c r="AZ25" i="13"/>
  <c r="AJ25" i="13"/>
  <c r="AH25" i="13"/>
  <c r="BU24" i="13"/>
  <c r="BS24" i="13"/>
  <c r="BB24" i="13"/>
  <c r="AZ24" i="13"/>
  <c r="AJ24" i="13"/>
  <c r="AH24" i="13"/>
  <c r="BU23" i="13"/>
  <c r="BS23" i="13"/>
  <c r="BB23" i="13"/>
  <c r="AZ23" i="13"/>
  <c r="AJ23" i="13"/>
  <c r="AH23" i="13"/>
  <c r="BQ18" i="13"/>
  <c r="BN18" i="13"/>
  <c r="BL18" i="13"/>
  <c r="AX18" i="13"/>
  <c r="AU18" i="13"/>
  <c r="AS18" i="13"/>
  <c r="AF18" i="13"/>
  <c r="AC18" i="13"/>
  <c r="AA18" i="13"/>
  <c r="BS16" i="13"/>
  <c r="BQ16" i="13"/>
  <c r="BN16" i="13"/>
  <c r="BL16" i="13"/>
  <c r="AZ16" i="13"/>
  <c r="AX16" i="13"/>
  <c r="AU16" i="13"/>
  <c r="AS16" i="13"/>
  <c r="AH16" i="13"/>
  <c r="AF16" i="13"/>
  <c r="AC16" i="13"/>
  <c r="AA16" i="13"/>
  <c r="BG14" i="13"/>
  <c r="AN14" i="13"/>
  <c r="V14" i="13"/>
  <c r="BT12" i="13"/>
  <c r="BG12" i="13"/>
  <c r="BA12" i="13"/>
  <c r="AN12" i="13"/>
  <c r="AI12" i="13"/>
  <c r="V12" i="13"/>
  <c r="BT11" i="13"/>
  <c r="BA11" i="13"/>
  <c r="AI11" i="13"/>
  <c r="BG8" i="13"/>
  <c r="AN8" i="13"/>
  <c r="V8" i="13"/>
  <c r="BT6" i="13"/>
  <c r="BG6" i="13"/>
  <c r="BA6" i="13"/>
  <c r="AN6" i="13"/>
  <c r="AI6" i="13"/>
  <c r="V6" i="13"/>
  <c r="BT5" i="13"/>
  <c r="BA5" i="13"/>
  <c r="AI5" i="13"/>
  <c r="BU3" i="13"/>
  <c r="BB3" i="13"/>
  <c r="AJ3" i="13"/>
  <c r="G59" i="12"/>
  <c r="BK59" i="12" s="1"/>
  <c r="O48" i="12"/>
  <c r="BS46" i="12"/>
  <c r="BQ46" i="12"/>
  <c r="BI46" i="12"/>
  <c r="AZ46" i="12"/>
  <c r="AX46" i="12"/>
  <c r="AP46" i="12"/>
  <c r="AH46" i="12"/>
  <c r="AF46" i="12"/>
  <c r="X46" i="12"/>
  <c r="Q46" i="12"/>
  <c r="BU46" i="12" s="1"/>
  <c r="BS45" i="12"/>
  <c r="BQ45" i="12"/>
  <c r="AZ45" i="12"/>
  <c r="AX45" i="12"/>
  <c r="AH45" i="12"/>
  <c r="AF45" i="12"/>
  <c r="Q45" i="12"/>
  <c r="BB45" i="12" s="1"/>
  <c r="BU44" i="12"/>
  <c r="BS44" i="12"/>
  <c r="BB44" i="12"/>
  <c r="AZ44" i="12"/>
  <c r="AJ44" i="12"/>
  <c r="AH44" i="12"/>
  <c r="BU43" i="12"/>
  <c r="BS43" i="12"/>
  <c r="BB43" i="12"/>
  <c r="AZ43" i="12"/>
  <c r="AJ43" i="12"/>
  <c r="AH43" i="12"/>
  <c r="BU42" i="12"/>
  <c r="BS42" i="12"/>
  <c r="BB42" i="12"/>
  <c r="AZ42" i="12"/>
  <c r="AJ42" i="12"/>
  <c r="AH42" i="12"/>
  <c r="BU41" i="12"/>
  <c r="BS41" i="12"/>
  <c r="BB41" i="12"/>
  <c r="AZ41" i="12"/>
  <c r="AJ41" i="12"/>
  <c r="AH41" i="12"/>
  <c r="BU40" i="12"/>
  <c r="BS40" i="12"/>
  <c r="BB40" i="12"/>
  <c r="AZ40" i="12"/>
  <c r="AJ40" i="12"/>
  <c r="AH40" i="12"/>
  <c r="BU39" i="12"/>
  <c r="BS39" i="12"/>
  <c r="BB39" i="12"/>
  <c r="AZ39" i="12"/>
  <c r="AJ39" i="12"/>
  <c r="AH39" i="12"/>
  <c r="BU38" i="12"/>
  <c r="BS38" i="12"/>
  <c r="BB38" i="12"/>
  <c r="AZ38" i="12"/>
  <c r="AJ38" i="12"/>
  <c r="AH38" i="12"/>
  <c r="BU37" i="12"/>
  <c r="BS37" i="12"/>
  <c r="BB37" i="12"/>
  <c r="AZ37" i="12"/>
  <c r="AJ37" i="12"/>
  <c r="AH37" i="12"/>
  <c r="BU36" i="12"/>
  <c r="BS36" i="12"/>
  <c r="BB36" i="12"/>
  <c r="AZ36" i="12"/>
  <c r="AJ36" i="12"/>
  <c r="AH36" i="12"/>
  <c r="BU35" i="12"/>
  <c r="BS35" i="12"/>
  <c r="BB35" i="12"/>
  <c r="AZ35" i="12"/>
  <c r="AJ35" i="12"/>
  <c r="AH35" i="12"/>
  <c r="BU34" i="12"/>
  <c r="BS34" i="12"/>
  <c r="BB34" i="12"/>
  <c r="AZ34" i="12"/>
  <c r="AJ34" i="12"/>
  <c r="AH34" i="12"/>
  <c r="BU33" i="12"/>
  <c r="BS33" i="12"/>
  <c r="BB33" i="12"/>
  <c r="AZ33" i="12"/>
  <c r="AJ33" i="12"/>
  <c r="AH33" i="12"/>
  <c r="BU32" i="12"/>
  <c r="BS32" i="12"/>
  <c r="BB32" i="12"/>
  <c r="AZ32" i="12"/>
  <c r="AJ32" i="12"/>
  <c r="AH32" i="12"/>
  <c r="BU31" i="12"/>
  <c r="BS31" i="12"/>
  <c r="BB31" i="12"/>
  <c r="AZ31" i="12"/>
  <c r="AJ31" i="12"/>
  <c r="AH31" i="12"/>
  <c r="BU30" i="12"/>
  <c r="BS30" i="12"/>
  <c r="BB30" i="12"/>
  <c r="AZ30" i="12"/>
  <c r="AJ30" i="12"/>
  <c r="AH30" i="12"/>
  <c r="BU29" i="12"/>
  <c r="BS29" i="12"/>
  <c r="BB29" i="12"/>
  <c r="AZ29" i="12"/>
  <c r="AJ29" i="12"/>
  <c r="AH29" i="12"/>
  <c r="BU28" i="12"/>
  <c r="BS28" i="12"/>
  <c r="BB28" i="12"/>
  <c r="AZ28" i="12"/>
  <c r="AJ28" i="12"/>
  <c r="AH28" i="12"/>
  <c r="BU27" i="12"/>
  <c r="BS27" i="12"/>
  <c r="BB27" i="12"/>
  <c r="AZ27" i="12"/>
  <c r="AJ27" i="12"/>
  <c r="AH27" i="12"/>
  <c r="BU26" i="12"/>
  <c r="BS26" i="12"/>
  <c r="BB26" i="12"/>
  <c r="AZ26" i="12"/>
  <c r="AJ26" i="12"/>
  <c r="AH26" i="12"/>
  <c r="BU25" i="12"/>
  <c r="BS25" i="12"/>
  <c r="BB25" i="12"/>
  <c r="AZ25" i="12"/>
  <c r="AJ25" i="12"/>
  <c r="AH25" i="12"/>
  <c r="AH48" i="12" s="1"/>
  <c r="BU24" i="12"/>
  <c r="BS24" i="12"/>
  <c r="BB24" i="12"/>
  <c r="AZ24" i="12"/>
  <c r="AJ24" i="12"/>
  <c r="AH24" i="12"/>
  <c r="BU23" i="12"/>
  <c r="BS23" i="12"/>
  <c r="BB23" i="12"/>
  <c r="AZ23" i="12"/>
  <c r="AJ23" i="12"/>
  <c r="AH23" i="12"/>
  <c r="BQ18" i="12"/>
  <c r="BN18" i="12"/>
  <c r="BL18" i="12"/>
  <c r="AX18" i="12"/>
  <c r="AU18" i="12"/>
  <c r="AS18" i="12"/>
  <c r="AF18" i="12"/>
  <c r="AC18" i="12"/>
  <c r="AA18" i="12"/>
  <c r="BS16" i="12"/>
  <c r="BQ16" i="12"/>
  <c r="BN16" i="12"/>
  <c r="BL16" i="12"/>
  <c r="AZ16" i="12"/>
  <c r="AX16" i="12"/>
  <c r="AU16" i="12"/>
  <c r="AS16" i="12"/>
  <c r="AH16" i="12"/>
  <c r="AF16" i="12"/>
  <c r="AC16" i="12"/>
  <c r="AA16" i="12"/>
  <c r="BG14" i="12"/>
  <c r="AN14" i="12"/>
  <c r="V14" i="12"/>
  <c r="BT12" i="12"/>
  <c r="BG12" i="12"/>
  <c r="BA12" i="12"/>
  <c r="AN12" i="12"/>
  <c r="AI12" i="12"/>
  <c r="V12" i="12"/>
  <c r="BT11" i="12"/>
  <c r="BA11" i="12"/>
  <c r="AI11" i="12"/>
  <c r="BG8" i="12"/>
  <c r="AN8" i="12"/>
  <c r="V8" i="12"/>
  <c r="BT6" i="12"/>
  <c r="BG6" i="12"/>
  <c r="BA6" i="12"/>
  <c r="AN6" i="12"/>
  <c r="AI6" i="12"/>
  <c r="V6" i="12"/>
  <c r="BT5" i="12"/>
  <c r="BA5" i="12"/>
  <c r="AI5" i="12"/>
  <c r="BU3" i="12"/>
  <c r="BB3" i="12"/>
  <c r="AJ3" i="12"/>
  <c r="Q45" i="10"/>
  <c r="Q46" i="10"/>
  <c r="BU48" i="35" l="1"/>
  <c r="BU45" i="35"/>
  <c r="AZ48" i="35"/>
  <c r="BS48" i="35"/>
  <c r="AJ45" i="35"/>
  <c r="Q48" i="35"/>
  <c r="I50" i="35" s="1"/>
  <c r="BB46" i="35"/>
  <c r="BB48" i="35" s="1"/>
  <c r="Z59" i="35"/>
  <c r="AR59" i="35"/>
  <c r="AJ46" i="35"/>
  <c r="BS48" i="34"/>
  <c r="AZ48" i="34"/>
  <c r="Q48" i="34"/>
  <c r="I50" i="34" s="1"/>
  <c r="BU45" i="34"/>
  <c r="BU48" i="34" s="1"/>
  <c r="BB46" i="34"/>
  <c r="BB48" i="34" s="1"/>
  <c r="AJ45" i="34"/>
  <c r="AJ48" i="34" s="1"/>
  <c r="Z59" i="34"/>
  <c r="AR59" i="34"/>
  <c r="AJ46" i="34"/>
  <c r="AZ48" i="33"/>
  <c r="BS48" i="33"/>
  <c r="Q48" i="33"/>
  <c r="I50" i="33" s="1"/>
  <c r="BU45" i="33"/>
  <c r="BU48" i="33" s="1"/>
  <c r="BB46" i="33"/>
  <c r="BB48" i="33" s="1"/>
  <c r="AJ45" i="33"/>
  <c r="AJ48" i="33" s="1"/>
  <c r="Z59" i="33"/>
  <c r="AR59" i="33"/>
  <c r="AJ46" i="33"/>
  <c r="AJ48" i="32"/>
  <c r="Q48" i="32"/>
  <c r="I50" i="32" s="1"/>
  <c r="BU45" i="32"/>
  <c r="BU48" i="32" s="1"/>
  <c r="BB46" i="32"/>
  <c r="BB48" i="32" s="1"/>
  <c r="Z59" i="32"/>
  <c r="AR59" i="32"/>
  <c r="AJ46" i="32"/>
  <c r="Z59" i="30"/>
  <c r="BK59" i="30"/>
  <c r="BU45" i="31"/>
  <c r="BB48" i="31"/>
  <c r="BU48" i="30"/>
  <c r="BU48" i="31"/>
  <c r="BB46" i="30"/>
  <c r="AJ45" i="30"/>
  <c r="AJ48" i="30" s="1"/>
  <c r="Q48" i="31"/>
  <c r="I50" i="31" s="1"/>
  <c r="BB46" i="31"/>
  <c r="BB45" i="30"/>
  <c r="BB48" i="30" s="1"/>
  <c r="AJ46" i="30"/>
  <c r="Z59" i="31"/>
  <c r="Q48" i="30"/>
  <c r="I50" i="30" s="1"/>
  <c r="AR59" i="31"/>
  <c r="AJ46" i="31"/>
  <c r="AJ48" i="31" s="1"/>
  <c r="AZ48" i="28"/>
  <c r="BS48" i="28"/>
  <c r="BU48" i="29"/>
  <c r="BU48" i="28"/>
  <c r="BB46" i="28"/>
  <c r="Q48" i="29"/>
  <c r="I50" i="29" s="1"/>
  <c r="AJ45" i="28"/>
  <c r="AJ48" i="28" s="1"/>
  <c r="Z59" i="28"/>
  <c r="BU45" i="29"/>
  <c r="BB46" i="29"/>
  <c r="BB48" i="29" s="1"/>
  <c r="AR59" i="28"/>
  <c r="BB45" i="28"/>
  <c r="BB48" i="28" s="1"/>
  <c r="AJ46" i="28"/>
  <c r="AJ45" i="29"/>
  <c r="AJ48" i="29" s="1"/>
  <c r="Z59" i="29"/>
  <c r="Q48" i="28"/>
  <c r="I50" i="28" s="1"/>
  <c r="AR59" i="29"/>
  <c r="AJ46" i="29"/>
  <c r="Q48" i="27"/>
  <c r="I50" i="27" s="1"/>
  <c r="BU45" i="27"/>
  <c r="BU48" i="27" s="1"/>
  <c r="BB46" i="27"/>
  <c r="BB48" i="27" s="1"/>
  <c r="AJ45" i="27"/>
  <c r="AJ48" i="27" s="1"/>
  <c r="Z59" i="27"/>
  <c r="AR59" i="27"/>
  <c r="AJ46" i="27"/>
  <c r="BS48" i="26"/>
  <c r="AZ48" i="26"/>
  <c r="Q48" i="26"/>
  <c r="I50" i="26" s="1"/>
  <c r="BU45" i="26"/>
  <c r="BU48" i="26" s="1"/>
  <c r="BB46" i="26"/>
  <c r="BB48" i="26" s="1"/>
  <c r="AJ45" i="26"/>
  <c r="AJ48" i="26" s="1"/>
  <c r="Z59" i="26"/>
  <c r="AR59" i="26"/>
  <c r="AJ46" i="26"/>
  <c r="Q48" i="25"/>
  <c r="I50" i="25" s="1"/>
  <c r="BU45" i="25"/>
  <c r="BU48" i="25" s="1"/>
  <c r="BB46" i="25"/>
  <c r="BB48" i="25" s="1"/>
  <c r="AJ45" i="25"/>
  <c r="AJ48" i="25" s="1"/>
  <c r="Z59" i="25"/>
  <c r="AR59" i="25"/>
  <c r="AJ46" i="25"/>
  <c r="AH48" i="24"/>
  <c r="Q48" i="24"/>
  <c r="I50" i="24" s="1"/>
  <c r="BU45" i="24"/>
  <c r="BU48" i="24" s="1"/>
  <c r="Z59" i="24"/>
  <c r="AR59" i="24"/>
  <c r="BB46" i="24"/>
  <c r="BB48" i="24" s="1"/>
  <c r="AJ45" i="24"/>
  <c r="AJ48" i="24" s="1"/>
  <c r="AJ46" i="24"/>
  <c r="Z59" i="22"/>
  <c r="AR59" i="22"/>
  <c r="BB48" i="23"/>
  <c r="BB46" i="22"/>
  <c r="BB48" i="22" s="1"/>
  <c r="AJ45" i="22"/>
  <c r="AJ48" i="22" s="1"/>
  <c r="Q48" i="23"/>
  <c r="I50" i="23" s="1"/>
  <c r="Z59" i="23"/>
  <c r="AJ46" i="22"/>
  <c r="Q48" i="22"/>
  <c r="I50" i="22" s="1"/>
  <c r="AR59" i="23"/>
  <c r="AJ46" i="23"/>
  <c r="AJ48" i="23" s="1"/>
  <c r="BS48" i="21"/>
  <c r="Q48" i="21"/>
  <c r="I50" i="21" s="1"/>
  <c r="AJ45" i="21"/>
  <c r="AJ48" i="21" s="1"/>
  <c r="BU45" i="21"/>
  <c r="BU48" i="21" s="1"/>
  <c r="BB46" i="21"/>
  <c r="BB48" i="21" s="1"/>
  <c r="Z59" i="21"/>
  <c r="AR59" i="21"/>
  <c r="AJ46" i="21"/>
  <c r="BS48" i="20"/>
  <c r="Q48" i="20"/>
  <c r="I50" i="20" s="1"/>
  <c r="BU45" i="20"/>
  <c r="BU48" i="20" s="1"/>
  <c r="BB46" i="20"/>
  <c r="BB48" i="20" s="1"/>
  <c r="AJ45" i="20"/>
  <c r="AJ48" i="20" s="1"/>
  <c r="Z59" i="20"/>
  <c r="AR59" i="20"/>
  <c r="AJ46" i="20"/>
  <c r="Q48" i="19"/>
  <c r="I50" i="19" s="1"/>
  <c r="BB46" i="19"/>
  <c r="BB48" i="19" s="1"/>
  <c r="BU45" i="19"/>
  <c r="BU48" i="19" s="1"/>
  <c r="AJ45" i="19"/>
  <c r="AJ48" i="19" s="1"/>
  <c r="Z59" i="19"/>
  <c r="AR59" i="19"/>
  <c r="AJ46" i="19"/>
  <c r="AJ48" i="18"/>
  <c r="Q48" i="18"/>
  <c r="I50" i="18" s="1"/>
  <c r="BU45" i="18"/>
  <c r="BU48" i="18" s="1"/>
  <c r="BB46" i="18"/>
  <c r="BB48" i="18" s="1"/>
  <c r="Z59" i="18"/>
  <c r="AR59" i="18"/>
  <c r="AJ46" i="18"/>
  <c r="BU48" i="17"/>
  <c r="Q48" i="17"/>
  <c r="I50" i="17" s="1"/>
  <c r="BB46" i="17"/>
  <c r="BB48" i="17" s="1"/>
  <c r="AJ45" i="17"/>
  <c r="Z59" i="17"/>
  <c r="AR59" i="17"/>
  <c r="AJ46" i="17"/>
  <c r="BS48" i="16"/>
  <c r="AZ48" i="16"/>
  <c r="AJ45" i="14"/>
  <c r="BU45" i="14"/>
  <c r="BU48" i="14" s="1"/>
  <c r="AJ46" i="16"/>
  <c r="Q48" i="16"/>
  <c r="I50" i="16" s="1"/>
  <c r="BU45" i="16"/>
  <c r="BU48" i="16" s="1"/>
  <c r="BB46" i="16"/>
  <c r="BB48" i="16" s="1"/>
  <c r="AJ45" i="16"/>
  <c r="AJ48" i="16" s="1"/>
  <c r="Z59" i="16"/>
  <c r="AR59" i="16"/>
  <c r="AJ45" i="15"/>
  <c r="AJ48" i="15" s="1"/>
  <c r="BU45" i="15"/>
  <c r="BU48" i="15" s="1"/>
  <c r="BB46" i="15"/>
  <c r="BB48" i="15" s="1"/>
  <c r="Z59" i="15"/>
  <c r="AR59" i="15"/>
  <c r="Q48" i="15"/>
  <c r="I50" i="15" s="1"/>
  <c r="AJ46" i="15"/>
  <c r="Q48" i="14"/>
  <c r="I50" i="14" s="1"/>
  <c r="BB46" i="14"/>
  <c r="BB48" i="14" s="1"/>
  <c r="Z59" i="14"/>
  <c r="AR59" i="14"/>
  <c r="AJ46" i="14"/>
  <c r="AJ48" i="14" s="1"/>
  <c r="AZ48" i="13"/>
  <c r="BS48" i="13"/>
  <c r="AH48" i="13"/>
  <c r="BU45" i="13"/>
  <c r="BU48" i="13" s="1"/>
  <c r="Q48" i="13"/>
  <c r="I50" i="13" s="1"/>
  <c r="BB46" i="13"/>
  <c r="BB48" i="13" s="1"/>
  <c r="Z59" i="13"/>
  <c r="AR59" i="13"/>
  <c r="AJ45" i="13"/>
  <c r="AJ46" i="13"/>
  <c r="AJ48" i="13" s="1"/>
  <c r="AZ48" i="12"/>
  <c r="BS48" i="12"/>
  <c r="BU45" i="12"/>
  <c r="BU48" i="12" s="1"/>
  <c r="Z59" i="12"/>
  <c r="Q48" i="12"/>
  <c r="I50" i="12" s="1"/>
  <c r="BB46" i="12"/>
  <c r="BB48" i="12" s="1"/>
  <c r="AR59" i="12"/>
  <c r="AJ45" i="12"/>
  <c r="AJ46" i="12"/>
  <c r="BA12" i="10"/>
  <c r="AJ48" i="35" l="1"/>
  <c r="BM50" i="35"/>
  <c r="AT50" i="35"/>
  <c r="AB50" i="35"/>
  <c r="BM50" i="34"/>
  <c r="AT50" i="34"/>
  <c r="AB50" i="34"/>
  <c r="BM50" i="33"/>
  <c r="AT50" i="33"/>
  <c r="AB50" i="33"/>
  <c r="BM50" i="32"/>
  <c r="AT50" i="32"/>
  <c r="AB50" i="32"/>
  <c r="AT50" i="30"/>
  <c r="AB50" i="30"/>
  <c r="BM50" i="30"/>
  <c r="BM50" i="31"/>
  <c r="AT50" i="31"/>
  <c r="AB50" i="31"/>
  <c r="BM50" i="29"/>
  <c r="AT50" i="29"/>
  <c r="AB50" i="29"/>
  <c r="AT50" i="28"/>
  <c r="AB50" i="28"/>
  <c r="BM50" i="28"/>
  <c r="BM50" i="27"/>
  <c r="AT50" i="27"/>
  <c r="AB50" i="27"/>
  <c r="BM50" i="26"/>
  <c r="AT50" i="26"/>
  <c r="AB50" i="26"/>
  <c r="BM50" i="25"/>
  <c r="AT50" i="25"/>
  <c r="AB50" i="25"/>
  <c r="BM50" i="24"/>
  <c r="AT50" i="24"/>
  <c r="AB50" i="24"/>
  <c r="BM50" i="23"/>
  <c r="AT50" i="23"/>
  <c r="AB50" i="23"/>
  <c r="AT50" i="22"/>
  <c r="AB50" i="22"/>
  <c r="BM50" i="22"/>
  <c r="BM50" i="21"/>
  <c r="AT50" i="21"/>
  <c r="AB50" i="21"/>
  <c r="BM50" i="20"/>
  <c r="AT50" i="20"/>
  <c r="AB50" i="20"/>
  <c r="BM50" i="19"/>
  <c r="AT50" i="19"/>
  <c r="AB50" i="19"/>
  <c r="BM50" i="18"/>
  <c r="AT50" i="18"/>
  <c r="AB50" i="18"/>
  <c r="AJ48" i="17"/>
  <c r="BM50" i="17"/>
  <c r="AT50" i="17"/>
  <c r="AB50" i="17"/>
  <c r="BM50" i="16"/>
  <c r="AT50" i="16"/>
  <c r="AB50" i="16"/>
  <c r="BM50" i="15"/>
  <c r="AT50" i="15"/>
  <c r="AB50" i="15"/>
  <c r="BM50" i="14"/>
  <c r="AT50" i="14"/>
  <c r="AB50" i="14"/>
  <c r="BM50" i="13"/>
  <c r="AT50" i="13"/>
  <c r="AB50" i="13"/>
  <c r="AJ48" i="12"/>
  <c r="AT50" i="12"/>
  <c r="AB50" i="12"/>
  <c r="BM50" i="12"/>
  <c r="AI12" i="10"/>
  <c r="G59" i="10" l="1"/>
  <c r="BB45" i="10" l="1"/>
  <c r="BK59" i="10"/>
  <c r="AR59" i="10"/>
  <c r="Z59" i="10"/>
  <c r="O48" i="10"/>
  <c r="BS46" i="10"/>
  <c r="BQ46" i="10"/>
  <c r="BI46" i="10"/>
  <c r="AZ46" i="10"/>
  <c r="AX46" i="10"/>
  <c r="AP46" i="10"/>
  <c r="AH46" i="10"/>
  <c r="AF46" i="10"/>
  <c r="X46" i="10"/>
  <c r="BB46" i="10"/>
  <c r="BS45" i="10"/>
  <c r="BQ45" i="10"/>
  <c r="AZ45" i="10"/>
  <c r="AX45" i="10"/>
  <c r="AH45" i="10"/>
  <c r="AF45" i="10"/>
  <c r="BU44" i="10"/>
  <c r="BS44" i="10"/>
  <c r="BB44" i="10"/>
  <c r="AZ44" i="10"/>
  <c r="AJ44" i="10"/>
  <c r="AH44" i="10"/>
  <c r="BU43" i="10"/>
  <c r="BS43" i="10"/>
  <c r="BB43" i="10"/>
  <c r="AZ43" i="10"/>
  <c r="AJ43" i="10"/>
  <c r="AH43" i="10"/>
  <c r="BU42" i="10"/>
  <c r="BS42" i="10"/>
  <c r="BB42" i="10"/>
  <c r="AZ42" i="10"/>
  <c r="AJ42" i="10"/>
  <c r="AH42" i="10"/>
  <c r="BU41" i="10"/>
  <c r="BS41" i="10"/>
  <c r="BB41" i="10"/>
  <c r="AZ41" i="10"/>
  <c r="AJ41" i="10"/>
  <c r="AH41" i="10"/>
  <c r="BU40" i="10"/>
  <c r="BS40" i="10"/>
  <c r="BB40" i="10"/>
  <c r="AZ40" i="10"/>
  <c r="AJ40" i="10"/>
  <c r="AH40" i="10"/>
  <c r="BU39" i="10"/>
  <c r="BS39" i="10"/>
  <c r="BB39" i="10"/>
  <c r="AZ39" i="10"/>
  <c r="AJ39" i="10"/>
  <c r="AH39" i="10"/>
  <c r="BU38" i="10"/>
  <c r="BS38" i="10"/>
  <c r="BB38" i="10"/>
  <c r="AZ38" i="10"/>
  <c r="AJ38" i="10"/>
  <c r="AH38" i="10"/>
  <c r="BU37" i="10"/>
  <c r="BS37" i="10"/>
  <c r="BB37" i="10"/>
  <c r="AZ37" i="10"/>
  <c r="AJ37" i="10"/>
  <c r="AH37" i="10"/>
  <c r="BU36" i="10"/>
  <c r="BS36" i="10"/>
  <c r="BB36" i="10"/>
  <c r="AZ36" i="10"/>
  <c r="AJ36" i="10"/>
  <c r="AH36" i="10"/>
  <c r="BU35" i="10"/>
  <c r="BS35" i="10"/>
  <c r="BB35" i="10"/>
  <c r="AZ35" i="10"/>
  <c r="AJ35" i="10"/>
  <c r="AH35" i="10"/>
  <c r="BU34" i="10"/>
  <c r="BS34" i="10"/>
  <c r="BB34" i="10"/>
  <c r="AZ34" i="10"/>
  <c r="AJ34" i="10"/>
  <c r="AH34" i="10"/>
  <c r="BU33" i="10"/>
  <c r="BS33" i="10"/>
  <c r="BB33" i="10"/>
  <c r="AZ33" i="10"/>
  <c r="AJ33" i="10"/>
  <c r="AH33" i="10"/>
  <c r="BU32" i="10"/>
  <c r="BS32" i="10"/>
  <c r="BB32" i="10"/>
  <c r="AZ32" i="10"/>
  <c r="AJ32" i="10"/>
  <c r="AH32" i="10"/>
  <c r="BU31" i="10"/>
  <c r="BS31" i="10"/>
  <c r="BB31" i="10"/>
  <c r="AZ31" i="10"/>
  <c r="AJ31" i="10"/>
  <c r="AH31" i="10"/>
  <c r="BU30" i="10"/>
  <c r="BS30" i="10"/>
  <c r="BB30" i="10"/>
  <c r="AZ30" i="10"/>
  <c r="AJ30" i="10"/>
  <c r="AH30" i="10"/>
  <c r="BU29" i="10"/>
  <c r="BS29" i="10"/>
  <c r="BB29" i="10"/>
  <c r="AZ29" i="10"/>
  <c r="AJ29" i="10"/>
  <c r="AH29" i="10"/>
  <c r="BU28" i="10"/>
  <c r="BS28" i="10"/>
  <c r="BB28" i="10"/>
  <c r="AZ28" i="10"/>
  <c r="AJ28" i="10"/>
  <c r="AH28" i="10"/>
  <c r="BU27" i="10"/>
  <c r="BS27" i="10"/>
  <c r="BB27" i="10"/>
  <c r="AZ27" i="10"/>
  <c r="AJ27" i="10"/>
  <c r="AH27" i="10"/>
  <c r="BU26" i="10"/>
  <c r="BS26" i="10"/>
  <c r="BB26" i="10"/>
  <c r="AZ26" i="10"/>
  <c r="AJ26" i="10"/>
  <c r="AH26" i="10"/>
  <c r="BU25" i="10"/>
  <c r="BS25" i="10"/>
  <c r="BB25" i="10"/>
  <c r="AZ25" i="10"/>
  <c r="AJ25" i="10"/>
  <c r="AH25" i="10"/>
  <c r="BU24" i="10"/>
  <c r="BS24" i="10"/>
  <c r="BB24" i="10"/>
  <c r="AZ24" i="10"/>
  <c r="AJ24" i="10"/>
  <c r="AH24" i="10"/>
  <c r="BU23" i="10"/>
  <c r="BS23" i="10"/>
  <c r="BB23" i="10"/>
  <c r="AZ23" i="10"/>
  <c r="AJ23" i="10"/>
  <c r="AH23" i="10"/>
  <c r="BQ18" i="10"/>
  <c r="BN18" i="10"/>
  <c r="BL18" i="10"/>
  <c r="AX18" i="10"/>
  <c r="AU18" i="10"/>
  <c r="AS18" i="10"/>
  <c r="AF18" i="10"/>
  <c r="AC18" i="10"/>
  <c r="AA18" i="10"/>
  <c r="BS16" i="10"/>
  <c r="BQ16" i="10"/>
  <c r="BN16" i="10"/>
  <c r="BL16" i="10"/>
  <c r="AZ16" i="10"/>
  <c r="AX16" i="10"/>
  <c r="AU16" i="10"/>
  <c r="AS16" i="10"/>
  <c r="AH16" i="10"/>
  <c r="AF16" i="10"/>
  <c r="AC16" i="10"/>
  <c r="AA16" i="10"/>
  <c r="BG14" i="10"/>
  <c r="AN14" i="10"/>
  <c r="V14" i="10"/>
  <c r="BT12" i="10"/>
  <c r="BG12" i="10"/>
  <c r="AN12" i="10"/>
  <c r="V12" i="10"/>
  <c r="BT11" i="10"/>
  <c r="BA11" i="10"/>
  <c r="AI11" i="10"/>
  <c r="BG8" i="10"/>
  <c r="AN8" i="10"/>
  <c r="V8" i="10"/>
  <c r="BT6" i="10"/>
  <c r="BG6" i="10"/>
  <c r="BA6" i="10"/>
  <c r="AN6" i="10"/>
  <c r="AI6" i="10"/>
  <c r="V6" i="10"/>
  <c r="BT5" i="10"/>
  <c r="BA5" i="10"/>
  <c r="AI5" i="10"/>
  <c r="BU3" i="10"/>
  <c r="BB3" i="10"/>
  <c r="AJ3" i="10"/>
  <c r="AJ45" i="10"/>
  <c r="BU45" i="10"/>
  <c r="BU46" i="10"/>
  <c r="AJ46" i="10"/>
  <c r="Q48" i="10"/>
  <c r="I50" i="10" s="1"/>
  <c r="BU48" i="10" l="1"/>
  <c r="BB48" i="10"/>
  <c r="AZ48" i="10"/>
  <c r="BS48" i="10"/>
  <c r="AH48" i="10"/>
  <c r="AJ48" i="10"/>
  <c r="AB50" i="10"/>
  <c r="AT50" i="10"/>
  <c r="BM50" i="10"/>
</calcChain>
</file>

<file path=xl/sharedStrings.xml><?xml version="1.0" encoding="utf-8"?>
<sst xmlns="http://schemas.openxmlformats.org/spreadsheetml/2006/main" count="9540" uniqueCount="151">
  <si>
    <t>หนังสือรับรองการหักภาษี ณ ที่จ่าย</t>
  </si>
  <si>
    <t>ตามมาตรา  50  ทวิ  แห่งประมวลรัษฎากร</t>
  </si>
  <si>
    <t>เล่มที่</t>
  </si>
  <si>
    <t>เลขที่</t>
  </si>
  <si>
    <t>ผู้มีหน้าที่หักภาษี  ณ  ที่จ่าย :-</t>
  </si>
  <si>
    <t>เลขประจำตัวประชาชน</t>
  </si>
  <si>
    <t>ชื่อ</t>
  </si>
  <si>
    <t>เลขประจำตัวผู้เสียภาษีอากร</t>
  </si>
  <si>
    <t>ที่อยู่</t>
  </si>
  <si>
    <t>( ให้ระบุ  เลขที่  ตรอก/ซอย  หมู่ที่  ถนน  ตำบล/แขวง  อำเภอ/เขต  จังหวัด )</t>
  </si>
  <si>
    <t>ผู้ถูกหักภาษี  ณ  ที่จ่าย :-</t>
  </si>
  <si>
    <t>ลำดับที่</t>
  </si>
  <si>
    <t>ในแบบ</t>
  </si>
  <si>
    <t>(1) ภ.ง.ด. 1ก.</t>
  </si>
  <si>
    <t>(2) ภ.ง.ด. 1ก.พิเศษ</t>
  </si>
  <si>
    <t>(3) ภ.ง.ด. 2</t>
  </si>
  <si>
    <t>(4) ภ.ง.ด. 2ก.</t>
  </si>
  <si>
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</si>
  <si>
    <t>(5) ภ.ง.ด. 3</t>
  </si>
  <si>
    <t>(6) ภ.ง.ด. 3ก.</t>
  </si>
  <si>
    <t>(7) ภ.ง.ด. 53</t>
  </si>
  <si>
    <t>ประเภทเงินได้พึงประเมินที่จ่าย</t>
  </si>
  <si>
    <t>วัน  เดือน</t>
  </si>
  <si>
    <t>หรือปีภาษี ที่จ่าย</t>
  </si>
  <si>
    <t>จำนวนเงินที่จ่าย</t>
  </si>
  <si>
    <t>ภาษีที่หัก</t>
  </si>
  <si>
    <t>และนำส่งไว้</t>
  </si>
  <si>
    <t>1.</t>
  </si>
  <si>
    <t>2.</t>
  </si>
  <si>
    <t>3.</t>
  </si>
  <si>
    <t>4.</t>
  </si>
  <si>
    <t>กำไรสุทธิของกิจการที่ต้องเสียภาษีเงินได้นิติบุคคลในอัตราดังนี้</t>
  </si>
  <si>
    <t>(1.1) อัตราร้อยละ 30 ของกำไรสุทธิ</t>
  </si>
  <si>
    <t>(1.2) อัตราร้อยละ 25 ของกำไรสุทธิ</t>
  </si>
  <si>
    <t>(1.3) อัตราร้อยละ 20 ของกำไรสุทธิ</t>
  </si>
  <si>
    <t>(1.4) อัตราอื่น ๆ ( ระบุ )</t>
  </si>
  <si>
    <t>(2) กิจการที่ได้รับยกเว้นภาษีเงินได้นิติบุคคลซึ่ง ผู้รับเงินปันผลไม่ได้รับเครดิตภาษี</t>
  </si>
  <si>
    <t>(1) กรณีผู้ด้รับเงินปันผลได้รับเครดิตภาษี โดยจ่ายจาก</t>
  </si>
  <si>
    <t>(2.1) กำไรสุทธิของกิจการที่ได้รับยกเว้นภาษีเงินได้นิติบุคคล</t>
  </si>
  <si>
    <t>(2.2) เงินปันผลหรือเงินส่วนแบ่งของกำไรที่ได้รับยกเว้นไม่ต้องนำมารวม</t>
  </si>
  <si>
    <t>(2.3) กำไรสุทธิส่วนที่ได้หักผลขาดทุนสุทธิยกมาไม่เกิน 5 ปี</t>
  </si>
  <si>
    <t>(2.4) กำไรที่รับรู้ทางบัญชีโดยวิธีส่วนได้เสีย (equity method)</t>
  </si>
  <si>
    <t>(2.5) อัตราอื่น ๆ ( ระบุ )</t>
  </si>
  <si>
    <t>คำนวณเป็นรายได้เพื่อเสียภาษีนิติบุคคล</t>
  </si>
  <si>
    <t>ก่อนรอบระยะเวลาบัญชีปัจจุบัน</t>
  </si>
  <si>
    <t>5.</t>
  </si>
  <si>
    <t>การจ่ายเงินได้ที่ต้องหักภาษี ณ. ที่จ่าย ตามคำสั่งกรมสรรพากรที่ออกตาม</t>
  </si>
  <si>
    <t>มาตรา 3 เตรส เช่น รางวัล ส่วนลดหรือประโยชน์ใดๆ เนื่องจากการส่งเสริมการขาย</t>
  </si>
  <si>
    <t>รางวัลในการประกวด การแข่งขัน การชิงโชค ค่าแสดงของนักแสดงสาธารณะ</t>
  </si>
  <si>
    <t>6.</t>
  </si>
  <si>
    <t>อื่นๆ(ระบุ)</t>
  </si>
  <si>
    <t>รวมเงินภาษีที่นำส่ง (ตัวอักษร)</t>
  </si>
  <si>
    <t>เงินสะสมจ่ายเข้ากองทุนสำรองเลี้ยงชีพ ใบอนุญาตเลขที่</t>
  </si>
  <si>
    <t>จำนวนเงิน</t>
  </si>
  <si>
    <t>บาท</t>
  </si>
  <si>
    <t xml:space="preserve">เงินสมทบจ่ายเข้ากองทุนประกันสังคม จำนวน </t>
  </si>
  <si>
    <t>เลขที่บัญชีนายจ้าง</t>
  </si>
  <si>
    <t>เลขที่บัตรประกันสังคม ของผู้ถูกหักภาษี ณ ที่จ่าย</t>
  </si>
  <si>
    <t>ผู้จ่ายเงิน</t>
  </si>
  <si>
    <t>หักภาษี  ณ  ที่จ่าย</t>
  </si>
  <si>
    <t>ออกภาษีให้ตลอดไป</t>
  </si>
  <si>
    <t>ออกภาษีให้ครั้งเดียว</t>
  </si>
  <si>
    <t>อื่นๆ (ระบุ)</t>
  </si>
  <si>
    <t>ลงชื่อ</t>
  </si>
  <si>
    <t>วัน เดือน ปี  ที่ออกหนังสือรับรองฯ</t>
  </si>
  <si>
    <t xml:space="preserve"> คำเตือน</t>
  </si>
  <si>
    <t>ต้องรับโทษทางอาญา  ตามมาตรา  35  แห่งประมวลรัษฎากร</t>
  </si>
  <si>
    <t>( ให้ระบุว่าเป็น บุคคล นิติบุคคล บริษัท สมาคม หรือ คณะบุคคล )</t>
  </si>
  <si>
    <r>
      <rPr>
        <b/>
        <sz val="10"/>
        <color indexed="30"/>
        <rFont val="Leelawadee"/>
        <family val="2"/>
      </rPr>
      <t>ฉบับที่ 1</t>
    </r>
    <r>
      <rPr>
        <sz val="10"/>
        <color theme="1"/>
        <rFont val="Leelawadee"/>
        <family val="2"/>
      </rPr>
      <t xml:space="preserve">   ( สำหรับผู้ถูกหักภาษี ณ ที่จ่าย ใช้แนบพร้อมกับแบบแสดงรายการภาษี )</t>
    </r>
  </si>
  <si>
    <t>ของกำไรสุทธิ</t>
  </si>
  <si>
    <t>- ---- ----- -- -</t>
  </si>
  <si>
    <t>ขอรับรองว่าข้อความและตัวเลขดังกล่าวข้างต้น ถูกต้องตรงกับความจริงทุกประการ</t>
  </si>
  <si>
    <t>ผู้มีหน้าที่หักภาษี ณ ที่จ่าย</t>
  </si>
  <si>
    <t>รวมเงินที่จ่าย และ ภาษีที่นำส่ง</t>
  </si>
  <si>
    <t>(ข) เงินปันผล ส่วนแบ่งของกำไร ฯลฯ ตามมาตรา 40 (4) (ข)</t>
  </si>
  <si>
    <t>ค่าแห่งลิขสิทธิ์  ฯลฯ  ตามมาตรา 40 (3)</t>
  </si>
  <si>
    <t>(ก) ค่าดอกเบี้ย ฯลฯ  ตามมาตรา 40 (4) (ก)</t>
  </si>
  <si>
    <t>ค่าธรรมเนียม  ค่านายหน้า  ฯลฯ  ตามมาตรา 40 (2)</t>
  </si>
  <si>
    <t>เงินเดือน ค่าจ้าง เบี้ยเลี้ยง โบนัส ฯลฯ  ตามมาตรา 40 (1)</t>
  </si>
  <si>
    <t>'</t>
  </si>
  <si>
    <r>
      <rPr>
        <b/>
        <sz val="10"/>
        <color indexed="36"/>
        <rFont val="Leelawadee"/>
        <family val="2"/>
      </rPr>
      <t>ฉบับที่ 2</t>
    </r>
    <r>
      <rPr>
        <sz val="10"/>
        <color theme="1"/>
        <rFont val="Leelawadee"/>
        <family val="2"/>
      </rPr>
      <t xml:space="preserve">   ( สำหรับผู้ถูกหักภาษี ณ ที่จ่าย เก็บไว้เป็นหลักฐาน)</t>
    </r>
  </si>
  <si>
    <r>
      <rPr>
        <b/>
        <sz val="10"/>
        <color indexed="53"/>
        <rFont val="Leelawadee"/>
        <family val="2"/>
      </rPr>
      <t>ฉบับที่ 3</t>
    </r>
    <r>
      <rPr>
        <sz val="10"/>
        <color theme="1"/>
        <rFont val="Leelawadee"/>
        <family val="2"/>
      </rPr>
      <t xml:space="preserve">   ( สำหรับผู้หักภาษี ณ ที่จ่าย ใช้แนบพร้อมกับแบบแสดงรายการภาษี )</t>
    </r>
  </si>
  <si>
    <r>
      <rPr>
        <b/>
        <sz val="10"/>
        <color indexed="53"/>
        <rFont val="Leelawadee"/>
        <family val="2"/>
      </rPr>
      <t>ฉบับที่ 4</t>
    </r>
    <r>
      <rPr>
        <sz val="10"/>
        <color theme="1"/>
        <rFont val="Leelawadee"/>
        <family val="2"/>
      </rPr>
      <t xml:space="preserve">   ( สำหรับผู้หักภาษี ณ ที่จ่าย เก็บไว้เป็นหลักฐาน)</t>
    </r>
  </si>
  <si>
    <r>
      <rPr>
        <sz val="10"/>
        <rFont val="Leelawadee"/>
        <family val="2"/>
      </rPr>
      <t>ค่าบริการ ค่าขนส่ง</t>
    </r>
    <r>
      <rPr>
        <sz val="10"/>
        <color theme="1"/>
        <rFont val="Leelawadee"/>
        <family val="2"/>
      </rPr>
      <t xml:space="preserve"> ค่าจ้างทำของ ค่าจ้างโฆษณา ค่าเช่า ค่าเบี้ยประกันวินาศภัย ฯลฯ</t>
    </r>
  </si>
  <si>
    <t>ฝ่าฝืนไม่ปฏิบัติตามมาตรา  50  ทวิ  แห่งประมวลรัษฎากร</t>
  </si>
  <si>
    <t xml:space="preserve">ผู้มีหน้าที่ออกหนังสือรับรองการหักภาษี ณ. ที่จ่าย  </t>
  </si>
  <si>
    <t>1. กรณีบุคคลธรรมดาไทย ให้ใช้เลขประจำตัวประชาชนของกรมการปกครอง</t>
  </si>
  <si>
    <t>2. กรณีนิติบุคคล ให้ใช้เลขทะเบียนนิติบุคคลของกรมพัฒนาธุรกิจการค้า</t>
  </si>
  <si>
    <t xml:space="preserve">3. กรณีอื่น ๆ นอกเหนือจาก 1. และ 2. ให้ใช้เลขประจำตัวผู้เสียภาษีอากร (13 หลัก) </t>
  </si>
  <si>
    <r>
      <t>หมายเหตุ</t>
    </r>
    <r>
      <rPr>
        <sz val="8"/>
        <color indexed="8"/>
        <rFont val="Leelawadee"/>
        <family val="2"/>
      </rPr>
      <t xml:space="preserve"> เลขประจำตัวผู้เสียภาษีอากร (13 หลัก)* หมายถึง</t>
    </r>
  </si>
  <si>
    <t>x</t>
  </si>
  <si>
    <t>6810-001</t>
  </si>
  <si>
    <t>บริษัท โซนาร์ เอไอ จำกัด</t>
  </si>
  <si>
    <t>นาย ชยันต์ ไชยพร</t>
  </si>
  <si>
    <t>45 ซ.จัดสรรเอื้อวัฒนสกุล แขวงพัฒนาการ เขตสวนหลวง กรุงเทพมหานคร</t>
  </si>
  <si>
    <t>ค่าบริการวิชาชีพ</t>
  </si>
  <si>
    <t>24/10/2568</t>
  </si>
  <si>
    <t>360/83 ลุมพินีทาวน์วิลล์ ลาดกระบัง-สุวรรณภูมิ ถนนหลวงแพ่ง แขวงทับยาว เขตลาดกระบัง กรุงเทพมหานคร</t>
  </si>
  <si>
    <t>6810-002</t>
  </si>
  <si>
    <t>นางสาว ชุติกาญจน์ ครรชนะอรรถ</t>
  </si>
  <si>
    <t>489 ถ. นาคนิวาส แขวงลาดพร้าว เขตลาดพร้าว กรุงเทพมหานคร</t>
  </si>
  <si>
    <t>30/10/2568</t>
  </si>
  <si>
    <t>6810-003</t>
  </si>
  <si>
    <t xml:space="preserve"> </t>
  </si>
  <si>
    <t>6811-001</t>
  </si>
  <si>
    <t>นาย จิรายุ สุขุม</t>
  </si>
  <si>
    <t>37/141 ซ.พระยาสุเรนทร์ 39 แขวงสามวาตะวันตก เขตคลองสามวา กรุงเทพมหานคร</t>
  </si>
  <si>
    <t>12/11/2568</t>
  </si>
  <si>
    <t>6812-001</t>
  </si>
  <si>
    <t>10/12/2568</t>
  </si>
  <si>
    <t>6812-002</t>
  </si>
  <si>
    <t>24/12/2568</t>
  </si>
  <si>
    <t>6812-003</t>
  </si>
  <si>
    <t>6901-001</t>
  </si>
  <si>
    <t>6901-002</t>
  </si>
  <si>
    <t>นางสาวพิชชานันท์ ลี้สุขสม</t>
  </si>
  <si>
    <t>75/2 หมู่ 4 ต.ลำพยา อ.เมืองนครปฐม จ.นครปฐม 73000</t>
  </si>
  <si>
    <t>02/01/2569</t>
  </si>
  <si>
    <t>06/01/2569</t>
  </si>
  <si>
    <t>12/01/2569</t>
  </si>
  <si>
    <t>6901-003</t>
  </si>
  <si>
    <t>6901-004</t>
  </si>
  <si>
    <t>บริษัท คอล โฟร์ แคร์ (ประเทศไทย) จำกัด</t>
  </si>
  <si>
    <t>163/84 ถนนสรรพาวุธ แขวงบางนาใต้ เขตบางนา กรุงเทพมหานคร 10260</t>
  </si>
  <si>
    <t>24/01/2569</t>
  </si>
  <si>
    <t>6901-006</t>
  </si>
  <si>
    <t>6901-005</t>
  </si>
  <si>
    <t>6902-001</t>
  </si>
  <si>
    <t>05/02/2569</t>
  </si>
  <si>
    <t>ค่าบริการ</t>
  </si>
  <si>
    <t>6902-002</t>
  </si>
  <si>
    <t>09/02/2569</t>
  </si>
  <si>
    <t>6902-003</t>
  </si>
  <si>
    <t>10/02/2569</t>
  </si>
  <si>
    <t>6902-004</t>
  </si>
  <si>
    <t>บริษัท เอบีที ออดิทติ้ง จำกัด</t>
  </si>
  <si>
    <t>99/372 ซอยราษฎร์พัฒนา 22 แขวงสะพานสูง เขตสะพานสูง กรุงเทพมหานคร</t>
  </si>
  <si>
    <t>13/02/2569</t>
  </si>
  <si>
    <t>24/02/2569</t>
  </si>
  <si>
    <t>6902-005</t>
  </si>
  <si>
    <t>6902-006</t>
  </si>
  <si>
    <t>6903-001</t>
  </si>
  <si>
    <t>10/03/2569</t>
  </si>
  <si>
    <t>6903-002</t>
  </si>
  <si>
    <t>6903-003</t>
  </si>
  <si>
    <t>24/03/2569</t>
  </si>
  <si>
    <t>นาย พิงพันธุ์ ครุฑดำรงชัย</t>
  </si>
  <si>
    <t>59/5 ปริญสิริไพรเวซี่ โยธินพัฒนา3 คลองจั่น บางกะปิ 10240</t>
  </si>
  <si>
    <t>6903-005</t>
  </si>
  <si>
    <t>6903-006</t>
  </si>
  <si>
    <t>27/03/2569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</si>
</sst>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\ #,##0.00_ ;"/>
    <numFmt numFmtId="165" formatCode="dd\-ดดดด\-bbbb"/>
    <numFmt numFmtId="166" formatCode="[$-1000000]0\ 0000\ 00000\ 00\ 0"/>
  </numFmts>
  <fonts count="40" x14ac:knownFonts="1">
    <font>
      <sz val="10"/>
      <color theme="1"/>
      <name val="Leelawadee"/>
      <family val="2"/>
    </font>
    <font>
      <b/>
      <sz val="10"/>
      <color indexed="8"/>
      <name val="Leelawadee"/>
      <family val="2"/>
    </font>
    <font>
      <i/>
      <sz val="10"/>
      <color indexed="8"/>
      <name val="BrowalliaUPC"/>
      <family val="2"/>
    </font>
    <font>
      <sz val="8"/>
      <color indexed="8"/>
      <name val="Leelawadee"/>
      <family val="2"/>
    </font>
    <font>
      <sz val="11"/>
      <color indexed="8"/>
      <name val="Leelawadee"/>
      <family val="2"/>
    </font>
    <font>
      <sz val="10"/>
      <color indexed="8"/>
      <name val="Leelawadee"/>
      <family val="2"/>
    </font>
    <font>
      <b/>
      <sz val="14"/>
      <color indexed="8"/>
      <name val="Leelawadee"/>
      <family val="2"/>
    </font>
    <font>
      <b/>
      <sz val="11"/>
      <color indexed="8"/>
      <name val="Leelawadee"/>
      <family val="2"/>
    </font>
    <font>
      <b/>
      <sz val="10"/>
      <color indexed="30"/>
      <name val="Leelawadee"/>
      <family val="2"/>
    </font>
    <font>
      <sz val="12"/>
      <color indexed="8"/>
      <name val="Leelawadee"/>
      <family val="2"/>
    </font>
    <font>
      <sz val="14"/>
      <color indexed="30"/>
      <name val="CordiaUPC"/>
      <family val="2"/>
    </font>
    <font>
      <sz val="10"/>
      <name val="Leelawadee"/>
      <family val="2"/>
    </font>
    <font>
      <sz val="14"/>
      <name val="CordiaUPC"/>
      <family val="2"/>
    </font>
    <font>
      <sz val="10"/>
      <color indexed="30"/>
      <name val="Leelawadee"/>
      <family val="2"/>
    </font>
    <font>
      <b/>
      <sz val="11"/>
      <color indexed="30"/>
      <name val="Tw Cen MT"/>
      <family val="2"/>
    </font>
    <font>
      <b/>
      <sz val="10"/>
      <color indexed="36"/>
      <name val="Leelawadee"/>
      <family val="2"/>
    </font>
    <font>
      <b/>
      <sz val="10"/>
      <color indexed="53"/>
      <name val="Leelawadee"/>
      <family val="2"/>
    </font>
    <font>
      <sz val="11"/>
      <name val="Segoe UI Symbol"/>
      <family val="2"/>
    </font>
    <font>
      <b/>
      <sz val="12"/>
      <color indexed="8"/>
      <name val="Tw Cen MT"/>
      <family val="2"/>
    </font>
    <font>
      <sz val="11"/>
      <color indexed="30"/>
      <name val="Segoe UI Symbol"/>
      <family val="2"/>
    </font>
    <font>
      <sz val="8"/>
      <name val="Leelawadee"/>
      <family val="2"/>
    </font>
    <font>
      <b/>
      <sz val="8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Segoe UI Symbol"/>
      <family val="2"/>
    </font>
    <font>
      <sz val="12"/>
      <name val="Leelawadee"/>
      <family val="2"/>
    </font>
    <font>
      <sz val="16"/>
      <color rgb="FF0000FF"/>
      <name val="CordiaUPC"/>
      <family val="2"/>
    </font>
    <font>
      <sz val="13"/>
      <color indexed="30"/>
      <name val="Segoe UI Symbol"/>
      <family val="2"/>
    </font>
    <font>
      <sz val="13"/>
      <color indexed="30"/>
      <name val="Tw Cen MT"/>
      <family val="2"/>
    </font>
    <font>
      <sz val="13"/>
      <color theme="1"/>
      <name val="Leelawadee"/>
      <family val="2"/>
    </font>
    <font>
      <sz val="12"/>
      <color theme="1"/>
      <name val="Leelawadee"/>
      <family val="2"/>
    </font>
    <font>
      <sz val="16"/>
      <name val="CordiaUPC"/>
      <family val="2"/>
    </font>
    <font>
      <sz val="13"/>
      <name val="Segoe UI Symbol"/>
      <family val="2"/>
    </font>
    <font>
      <sz val="13"/>
      <color indexed="8"/>
      <name val="Tw Cen MT"/>
      <family val="2"/>
    </font>
    <font>
      <sz val="13"/>
      <color rgb="FF0000FF"/>
      <name val="Segoe UI Symbol"/>
      <family val="2"/>
    </font>
    <font>
      <sz val="12"/>
      <color rgb="FF0000FF"/>
      <name val="Leelawadee"/>
      <family val="2"/>
    </font>
    <font>
      <sz val="11"/>
      <color rgb="FF0000FF"/>
      <name val="Leelawadee"/>
      <family val="2"/>
    </font>
    <font>
      <b/>
      <sz val="18"/>
      <color rgb="FF0000FF"/>
      <name val="CordiaUPC"/>
      <family val="2"/>
    </font>
    <font>
      <sz val="13"/>
      <color rgb="FF0000FF"/>
      <name val="Leelawadee"/>
      <family val="2"/>
    </font>
    <font>
      <b/>
      <sz val="18"/>
      <name val="CordiaUPC"/>
      <family val="2"/>
    </font>
    <font>
      <sz val="13"/>
      <color indexed="8"/>
      <name val="Leelawade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right"/>
    </xf>
    <xf numFmtId="0" fontId="4" fillId="0" borderId="3" xfId="0" applyFont="1" applyBorder="1"/>
    <xf numFmtId="0" fontId="4" fillId="0" borderId="0" xfId="0" applyFont="1"/>
    <xf numFmtId="0" fontId="0" fillId="0" borderId="4" xfId="0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6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7" fillId="0" borderId="10" xfId="0" applyFont="1" applyBorder="1"/>
    <xf numFmtId="0" fontId="1" fillId="0" borderId="13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0" fillId="0" borderId="0" xfId="0" applyAlignment="1">
      <alignment horizontal="centerContinuous" vertical="center"/>
    </xf>
    <xf numFmtId="0" fontId="0" fillId="0" borderId="9" xfId="0" applyBorder="1" applyAlignment="1">
      <alignment horizontal="right" vertical="center"/>
    </xf>
    <xf numFmtId="0" fontId="0" fillId="0" borderId="3" xfId="0" applyBorder="1" applyAlignment="1">
      <alignment horizontal="centerContinuous"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0" xfId="0" quotePrefix="1"/>
    <xf numFmtId="49" fontId="1" fillId="0" borderId="0" xfId="0" quotePrefix="1" applyNumberFormat="1" applyFont="1" applyAlignment="1">
      <alignment horizontal="center"/>
    </xf>
    <xf numFmtId="0" fontId="11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1" fillId="0" borderId="15" xfId="0" applyFont="1" applyBorder="1"/>
    <xf numFmtId="0" fontId="11" fillId="0" borderId="17" xfId="0" applyFont="1" applyBorder="1"/>
    <xf numFmtId="164" fontId="1" fillId="0" borderId="13" xfId="0" applyNumberFormat="1" applyFont="1" applyBorder="1" applyAlignment="1">
      <alignment horizontal="center"/>
    </xf>
    <xf numFmtId="0" fontId="0" fillId="0" borderId="18" xfId="0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5" fillId="2" borderId="0" xfId="0" applyFont="1" applyFill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0" xfId="0" applyFill="1" applyAlignment="1">
      <alignment horizontal="centerContinuous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17" fillId="0" borderId="9" xfId="0" quotePrefix="1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/>
    </xf>
    <xf numFmtId="0" fontId="19" fillId="0" borderId="9" xfId="0" quotePrefix="1" applyFont="1" applyBorder="1" applyAlignment="1">
      <alignment horizontal="centerContinuous"/>
    </xf>
    <xf numFmtId="0" fontId="3" fillId="0" borderId="0" xfId="0" applyFont="1" applyAlignment="1">
      <alignment horizontal="left" indent="1"/>
    </xf>
    <xf numFmtId="0" fontId="21" fillId="0" borderId="0" xfId="0" applyFont="1" applyAlignment="1">
      <alignment horizontal="left" indent="1"/>
    </xf>
    <xf numFmtId="0" fontId="21" fillId="0" borderId="0" xfId="0" applyFont="1"/>
    <xf numFmtId="0" fontId="22" fillId="0" borderId="13" xfId="0" applyFont="1" applyBorder="1" applyAlignment="1">
      <alignment horizontal="center"/>
    </xf>
    <xf numFmtId="166" fontId="23" fillId="0" borderId="4" xfId="0" quotePrefix="1" applyNumberFormat="1" applyFont="1" applyBorder="1" applyAlignment="1">
      <alignment horizontal="centerContinuous"/>
    </xf>
    <xf numFmtId="166" fontId="24" fillId="0" borderId="0" xfId="0" applyNumberFormat="1" applyFont="1" applyAlignment="1">
      <alignment horizontal="centerContinuous"/>
    </xf>
    <xf numFmtId="0" fontId="25" fillId="0" borderId="1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30" fillId="0" borderId="15" xfId="0" applyFont="1" applyBorder="1" applyAlignment="1">
      <alignment vertical="center"/>
    </xf>
    <xf numFmtId="166" fontId="31" fillId="0" borderId="4" xfId="0" quotePrefix="1" applyNumberFormat="1" applyFont="1" applyBorder="1" applyAlignment="1">
      <alignment horizontal="centerContinuous"/>
    </xf>
    <xf numFmtId="0" fontId="32" fillId="0" borderId="7" xfId="0" applyFont="1" applyBorder="1"/>
    <xf numFmtId="0" fontId="35" fillId="0" borderId="20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34" fillId="0" borderId="20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8" fillId="0" borderId="15" xfId="0" applyFont="1" applyBorder="1" applyAlignment="1">
      <alignment vertical="center"/>
    </xf>
    <xf numFmtId="164" fontId="28" fillId="0" borderId="18" xfId="0" applyNumberFormat="1" applyFont="1" applyBorder="1" applyAlignment="1">
      <alignment vertical="center"/>
    </xf>
    <xf numFmtId="0" fontId="39" fillId="0" borderId="19" xfId="0" applyFont="1" applyBorder="1" applyAlignment="1">
      <alignment vertical="center"/>
    </xf>
    <xf numFmtId="0" fontId="39" fillId="0" borderId="20" xfId="0" applyFont="1" applyBorder="1" applyAlignment="1">
      <alignment vertical="center"/>
    </xf>
    <xf numFmtId="166" fontId="31" fillId="0" borderId="0" xfId="0" quotePrefix="1" applyNumberFormat="1" applyFont="1" applyAlignment="1">
      <alignment horizontal="center"/>
    </xf>
    <xf numFmtId="166" fontId="31" fillId="0" borderId="4" xfId="0" quotePrefix="1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6" fontId="33" fillId="0" borderId="0" xfId="0" quotePrefix="1" applyNumberFormat="1" applyFont="1" applyAlignment="1">
      <alignment horizontal="center"/>
    </xf>
    <xf numFmtId="166" fontId="33" fillId="0" borderId="4" xfId="0" quotePrefix="1" applyNumberFormat="1" applyFont="1" applyBorder="1" applyAlignment="1">
      <alignment horizontal="center"/>
    </xf>
    <xf numFmtId="166" fontId="26" fillId="0" borderId="2" xfId="0" quotePrefix="1" applyNumberFormat="1" applyFont="1" applyBorder="1" applyAlignment="1">
      <alignment horizontal="center"/>
    </xf>
    <xf numFmtId="166" fontId="26" fillId="0" borderId="9" xfId="0" quotePrefix="1" applyNumberFormat="1" applyFont="1" applyBorder="1" applyAlignment="1">
      <alignment horizontal="center"/>
    </xf>
    <xf numFmtId="166" fontId="31" fillId="0" borderId="2" xfId="0" quotePrefix="1" applyNumberFormat="1" applyFont="1" applyBorder="1" applyAlignment="1">
      <alignment horizontal="center"/>
    </xf>
    <xf numFmtId="166" fontId="31" fillId="0" borderId="9" xfId="0" quotePrefix="1" applyNumberFormat="1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34" fillId="0" borderId="3" xfId="0" applyNumberFormat="1" applyFont="1" applyBorder="1" applyAlignment="1">
      <alignment horizontal="center" vertical="center" shrinkToFit="1"/>
    </xf>
    <xf numFmtId="164" fontId="34" fillId="0" borderId="4" xfId="0" applyNumberFormat="1" applyFont="1" applyBorder="1" applyAlignment="1">
      <alignment horizontal="center" vertical="center" shrinkToFit="1"/>
    </xf>
    <xf numFmtId="164" fontId="34" fillId="0" borderId="3" xfId="0" applyNumberFormat="1" applyFont="1" applyBorder="1" applyAlignment="1">
      <alignment vertical="center"/>
    </xf>
    <xf numFmtId="164" fontId="34" fillId="0" borderId="4" xfId="0" applyNumberFormat="1" applyFont="1" applyBorder="1" applyAlignment="1">
      <alignment vertical="center"/>
    </xf>
    <xf numFmtId="164" fontId="29" fillId="0" borderId="3" xfId="0" applyNumberFormat="1" applyFont="1" applyBorder="1" applyAlignment="1">
      <alignment horizontal="center" vertical="center"/>
    </xf>
    <xf numFmtId="164" fontId="29" fillId="0" borderId="4" xfId="0" applyNumberFormat="1" applyFont="1" applyBorder="1" applyAlignment="1">
      <alignment horizontal="center" vertical="center"/>
    </xf>
    <xf numFmtId="164" fontId="29" fillId="0" borderId="3" xfId="0" applyNumberFormat="1" applyFont="1" applyBorder="1" applyAlignment="1">
      <alignment vertical="center"/>
    </xf>
    <xf numFmtId="164" fontId="29" fillId="0" borderId="4" xfId="0" applyNumberFormat="1" applyFont="1" applyBorder="1" applyAlignment="1">
      <alignment vertical="center"/>
    </xf>
    <xf numFmtId="164" fontId="0" fillId="0" borderId="10" xfId="0" applyNumberFormat="1" applyBorder="1" applyAlignment="1">
      <alignment horizontal="center" vertical="center" shrinkToFit="1"/>
    </xf>
    <xf numFmtId="164" fontId="0" fillId="0" borderId="9" xfId="0" applyNumberFormat="1" applyBorder="1" applyAlignment="1">
      <alignment horizontal="center" vertical="center" shrinkToFit="1"/>
    </xf>
    <xf numFmtId="164" fontId="0" fillId="0" borderId="10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164" fontId="29" fillId="0" borderId="9" xfId="0" applyNumberFormat="1" applyFont="1" applyBorder="1" applyAlignment="1">
      <alignment horizontal="center" vertical="center"/>
    </xf>
    <xf numFmtId="164" fontId="29" fillId="0" borderId="10" xfId="0" applyNumberFormat="1" applyFont="1" applyBorder="1" applyAlignment="1">
      <alignment vertical="center"/>
    </xf>
    <xf numFmtId="164" fontId="29" fillId="0" borderId="9" xfId="0" applyNumberFormat="1" applyFont="1" applyBorder="1" applyAlignment="1">
      <alignment vertical="center"/>
    </xf>
    <xf numFmtId="164" fontId="34" fillId="0" borderId="3" xfId="0" quotePrefix="1" applyNumberFormat="1" applyFont="1" applyBorder="1" applyAlignment="1">
      <alignment horizontal="center" vertical="center" shrinkToFit="1"/>
    </xf>
    <xf numFmtId="164" fontId="29" fillId="0" borderId="3" xfId="0" applyNumberFormat="1" applyFont="1" applyBorder="1" applyAlignment="1">
      <alignment horizontal="center" vertical="center" shrinkToFit="1"/>
    </xf>
    <xf numFmtId="164" fontId="29" fillId="0" borderId="4" xfId="0" applyNumberFormat="1" applyFont="1" applyBorder="1" applyAlignment="1">
      <alignment horizontal="center" vertical="center" shrinkToFit="1"/>
    </xf>
    <xf numFmtId="47" fontId="29" fillId="0" borderId="6" xfId="0" applyNumberFormat="1" applyFont="1" applyBorder="1" applyAlignment="1">
      <alignment horizontal="center" vertical="center"/>
    </xf>
    <xf numFmtId="47" fontId="29" fillId="0" borderId="8" xfId="0" applyNumberFormat="1" applyFont="1" applyBorder="1" applyAlignment="1">
      <alignment horizontal="center" vertical="center"/>
    </xf>
    <xf numFmtId="164" fontId="29" fillId="0" borderId="6" xfId="0" applyNumberFormat="1" applyFont="1" applyBorder="1" applyAlignment="1">
      <alignment vertical="center"/>
    </xf>
    <xf numFmtId="164" fontId="29" fillId="0" borderId="8" xfId="0" applyNumberFormat="1" applyFont="1" applyBorder="1" applyAlignment="1">
      <alignment vertical="center"/>
    </xf>
    <xf numFmtId="164" fontId="29" fillId="0" borderId="6" xfId="0" applyNumberFormat="1" applyFont="1" applyBorder="1" applyAlignment="1">
      <alignment horizontal="center" vertical="center" shrinkToFit="1"/>
    </xf>
    <xf numFmtId="164" fontId="29" fillId="0" borderId="8" xfId="0" applyNumberFormat="1" applyFont="1" applyBorder="1" applyAlignment="1">
      <alignment horizontal="center" vertical="center" shrinkToFit="1"/>
    </xf>
    <xf numFmtId="165" fontId="34" fillId="0" borderId="22" xfId="0" applyNumberFormat="1" applyFont="1" applyBorder="1" applyAlignment="1">
      <alignment horizontal="center" vertical="center"/>
    </xf>
    <xf numFmtId="165" fontId="29" fillId="0" borderId="22" xfId="0" applyNumberFormat="1" applyFont="1" applyBorder="1" applyAlignment="1">
      <alignment horizontal="center" vertical="center"/>
    </xf>
    <xf numFmtId="164" fontId="34" fillId="0" borderId="6" xfId="0" applyNumberFormat="1" applyFont="1" applyBorder="1" applyAlignment="1">
      <alignment vertical="center"/>
    </xf>
    <xf numFmtId="164" fontId="34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21279571-E848-6A48-8180-6791CF30279C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1E2D7844-CE8B-804F-87A4-B0F6D409857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9DAD3C1-0FA1-6349-8F06-FA6ACBDDFD93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EB12FBDD-4009-1F44-8C71-DEB73088892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EAEC84A1-C825-F548-B0F6-EF7F9024EBF3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96BC58-BCD5-6B4F-BB9E-8426CEB92040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34FB2C-B805-2D4E-931B-DCB48CDD82A0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E916535-99A4-4348-BB55-2E1BEDFE2D31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EF0F1BD8-5E84-E540-91D4-16E99D7F1F0A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666E59-9ACC-1B49-831E-E3F1E6384552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6BD4CC1F-8E76-9945-8CA0-57E28AF18E39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B48985FD-D64E-1D49-B141-EAB786A92633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51C648A-E471-5F49-819F-CC6DA78E0F8F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E21F0ABF-670D-3840-94F6-A57615A91A5E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A21335B8-A8D9-DA44-AF30-1E7A36A059F6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EFF67294-D763-344C-8DE6-5C4119611DA8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0F8D28D7-AF8C-264E-A4B6-01C0AD2AE5C2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982F3C73-1496-F64F-ADF3-0F41EC2173D0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6C4ED3A1-7D5A-BA4B-A9ED-0FA94B5F7ED9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CA68438E-3A4B-024A-97FA-7107AF1F8E74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ACC2956A-8D74-CF42-A795-AC5AC018D8DB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FED7C6ED-9ADF-F046-8A0C-AC82AA6FA906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77B73964-3E59-FB40-87DB-0E503246E1D1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553EFA97-980E-6341-82D5-18ACD3B39671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B448E1F1-0D18-7A45-9CC2-9B8B7A618C5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E1654491-08E4-FD46-B84B-8AE4D0DB9FEB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F4E726E0-7929-5A4A-ADA9-D962BB7E0ED6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2F69A783-7DAD-084B-A120-7EADEC99D7C4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306D1D67-239C-574A-9DF7-53567BEDAB25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820F228-5C98-CA43-AE0A-FF4F020E1772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BE5437B-ACA0-6B49-9A34-6EE807BA9019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4E53CB8-7B30-9C40-ACF9-7EBEE51A724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DFB550F-4070-3245-B68D-82CF82A05D42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0BF667-3279-2F47-9D61-CF4DAD1E1A3D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A6B222-FA31-DF4F-9711-64B9F6045692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1D62F49-A178-7440-88EC-933842BFF33F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CE92BC7-2C96-6B41-86F2-246351A851AD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508F0F-C47F-AF45-B0E9-472D5F90EAE1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FC0E5829-A446-444E-866E-DE77503BBF52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C157D37-689B-854E-BDEB-24B05C382031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5E61651-E48C-AA48-9D6B-D6F094BF1143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0A533E1D-2CA3-8346-9AFD-A0C2664E5B9F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3D15D5AC-92E7-6940-8EAD-8736F12A4964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59B55CA4-E36C-E64A-B27A-87CCE8BBB1F7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32FFCA2E-0D09-4549-8D51-64C6EC474C49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D1D99863-5177-E84E-8949-EB2DE46434DD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E1B8D43A-A106-8B41-B723-D9B84F8CC06F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7CE3415A-0B40-1D43-A90A-A6233FE9FF71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E08DE9BD-4572-744C-BF05-34439533F9DC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FC87DF3E-E3AD-3E4A-8C17-FE8C68D0A2C6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5345BB0B-4BC9-F846-AFD9-AA074C19F6A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8602D7FB-803F-7142-BD61-CB0B0F3AE343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6F69B0B5-936F-6F45-A69F-B3786BB3A4D8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EA6EB204-2C42-EA4D-A941-A71F954ACD19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46727F82-5E93-664C-80EC-A19708126C5F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AE1A977A-7F85-184C-A47C-7182627DDEF7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A0E73EC-AD44-DF4B-941D-44C07A9C467E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B25E1161-A0C2-D748-86DB-499CDFF41FA6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176832D-0820-8E47-85A8-525D0FDE9E54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93D4429-FF83-224D-AE69-02EA307D6EA6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BCC3A6C4-CA3B-4840-B065-DA603A0F3171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264894-7A10-C947-8742-B21D319C0C6F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C63EC4B-FD0B-954C-87F6-B4904981FBB8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8B49719-A427-7049-B996-967CD58168D4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2C9C5D3-5BF4-964D-9FF8-0516D483CB21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0A89D65-D8BA-1F45-A19C-B18E52F424EB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A14A21F4-0E5E-1B4B-B7D5-BE6A18B338E6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8BB331E-8728-2748-BBF6-C55A8A09B302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84A7289-DAF0-D145-AB15-3E83F1E78002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69BD1800-50F5-754E-AF39-97C1A9E1A21D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249F6D1D-C46B-314A-802A-DB08339B3A58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9A44F79E-4E09-FB48-B84C-C8FB03F0E53F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F99D95AF-39E6-2C42-95AE-1E180FB60D64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5EA21B2E-2C61-5349-AB51-1FB2431E33BB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23B9868B-F785-EE42-9E0A-E5F5B95DC2CC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B26A424E-9BFC-2947-B9D5-CC0691F0F408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B4CD96D0-1E6A-7A41-BA63-3A73B94D89FC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E8342323-9608-A343-BA94-4B9A82883831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E20D17D2-D68D-5048-A074-108CF71288B0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BADFB262-78B1-964D-A964-612EF6E14136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5740210A-2468-3B44-ACC2-3744FD696BF6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B4B7447C-3B2E-5846-B658-8B5931A2B3CC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0F1064F0-B14F-B743-8AF3-308F48E45636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D76726F4-C763-0343-B683-64C73CC82623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E3AD3B4B-7900-F949-A207-2F12324D7CB6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77CC7D4-D703-9D4F-9817-1F221234BD2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F958F1F-8C3A-F84C-8DCD-2EA7F8204E96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A921F2C6-CDCC-FD42-8EDD-EEB7CECE711F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F6BE122D-9B58-3142-8E94-C264E3D744ED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816F64-CE48-6D42-9E1E-4F7B20EA0C25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DD23791-4622-874B-AFEE-F9A564730E5E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D7EB3561-66A9-2747-875D-6DCDF29AAE7C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56636D4C-B8E0-5547-BC98-C183C01CB790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AE6C6E8-3D6B-064F-AED9-482BF2DD478C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D8AF0BA0-A899-F14D-8B20-11B3DC6E6E1E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DF01BD9C-0E6E-1C40-88E4-D461C0D4B6D1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DC4669-A116-3F4C-A64C-B2DB3DBC1EA9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FAA4793A-250B-D841-8C4B-4D191734F9D8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B6952B6C-D5BD-CE40-AB01-A1FB235656BF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17E0CD2C-A87C-034E-A684-50AB88E2ACA7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C2826375-7434-6948-92F5-C5DC33919EA2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6D2C260E-3A37-BD48-92B1-0AB5234C78BA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81C9781E-C4F7-C84D-97C4-BCCD70531A3D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31321548-FE06-5C44-84B0-4EF4B7D4B7BE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ED1AA5E0-B0CD-8346-8BB3-14B837383F5F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D3419FEE-CD0F-DF47-B10B-5190F9F0A36E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895E8F5A-44B9-EA45-B3F7-45472F392437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E9E5FF5D-2765-2E4A-8EBF-4C4FE6CA9DCB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56196035-E375-8D49-8416-F07C323A3C68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F27F8094-32F0-1643-B370-2E1622FF3BAE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9C16B6D6-B4B5-304F-94C6-5F30D2903DE4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088A98AE-07E1-A046-9A3F-B9851E2BF8EE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A4B9DDA-CE6C-384A-823D-121C203BCE1F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3D844B2-B20F-6743-8988-9E46351CF0FA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15EF9443-E8F1-5848-83F5-47BF88F6508C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AF1C514-055F-C84A-A36E-489BAAFBB252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1D30CB4D-39F3-1647-8F80-EF0687221421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DF0AAA-6AE2-5A41-AD66-CF615140A430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1DB95CC-EBC4-534A-B150-70EED2F26027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274F8321-BDCF-424C-B5C1-5CC2187D7A79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337EC2AF-E286-BE4B-8E4C-1083D0BFE752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EC8A200-DA56-5C4C-9C9C-F306A79BD0D3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1C4B9233-6046-0547-A10A-968E85336443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42719019-6ED7-7B42-A771-E0D76036F52C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80475A7-288E-924D-8DD9-33233F5CEC55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033E3230-2DDF-2B4E-9355-4E0159BDAFD4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D4B99F3B-95F9-6F46-A8E6-2891A2766C3E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C9D47B83-9A11-9F47-B12D-7595EF53DDEA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3E987CA1-9229-0A45-90CA-97C37285FA2D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CD0B437C-6C9A-0445-AA9C-197F0D6A050E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835B227D-FB89-464A-8742-A26ADBA88814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DAD5DF8E-0BD5-4C4A-9D77-2FB60C162E8B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20A4CE37-B0B9-3C4D-9049-1D75DB402416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15F7620F-A81B-2E4B-9CF4-4F679E22D2E3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C282BCD2-5F35-8F44-9CA2-48BC0606F6D8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C5885AC9-ABA4-0D42-AA2F-33AEDC617F56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7519F016-C551-1A4D-85DB-2D2A19932AC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1DE727ED-3D6C-1641-A651-C7CC8B8ABF07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AFC43A82-AE68-AF48-8F9C-ABECC63363CA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B1C9A85B-4E36-1B4F-979E-60D726116A90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948B1FA-40B2-CE48-8DFA-8BE3227D3F4A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A4C27E6-1058-5B40-A22E-42669157B698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14E449BB-C79D-714B-9E01-20A166969857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7BE7B62-046D-2549-AE4F-9B4E313C8D21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BA2449D-74C8-3041-B1E2-8542D1FAB235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3A68FFE-4562-1C48-BB9B-0D6DE3075928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D3125C6-AABF-4B42-9C1F-02ECF80EFDB4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5CF97648-9CAB-1044-8DDD-9C1BE3B0C5CE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FEF8A68D-8102-C042-88CB-3A1ECD1C8773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848D1DD-6A33-3C4F-B24C-A46279DCBCF1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70EFA94C-1424-8F46-980C-9C4D904AC46F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A5FFE151-15EA-CC44-9AAB-7186C8E14BEC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E023D8B-2172-3947-9B91-9EADC8824978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B5B0B616-41E1-C146-9742-CC9BB7C38B31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45BDB3A1-75C3-6D4A-A913-0E982EBC538B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B0BF8B22-0485-3B4A-81D7-7AC27D1C9E6F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7A93462E-B969-EE44-BF4E-13282F5C87EE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6423577E-82B5-F548-AF2D-5145A5EA4AF0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890FC7B5-954E-D64A-9A62-65006D0B5DE6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C7977BA5-E9A3-3042-951F-F1E0A0EAB778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7B3E15FA-2853-0944-B89C-6AC459711E86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99592AE7-027F-A14A-9D41-A0BE2C98DF46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60FC3D78-BF14-404B-88E8-092782484F0C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5DDFC916-2C8A-1340-876A-197B0D4B0FAC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C34A78EE-0535-8E46-9282-7F068F481586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9B9389DD-D53B-914C-9964-10F0877466DF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90F5FCF5-D426-D045-9597-264F3108E0A6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6F675DA1-2EEA-7E47-BFC1-B5A7CC1A2FC3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4AAC7301-8CC9-3743-B3C4-CB0E3E3FC62D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F05F268-EF51-5345-A4E4-2226A36A255A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B49BEDC5-FB69-7B4D-AA93-A74D79C7FE1A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6C4A73B2-ACA7-F34E-BDCB-F2473AE7E9D3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A311A634-3141-F24C-B105-F1998C5CFBB3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87C215E-6D49-3D4C-BC7D-53338A878CE2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9F0EED-E3C9-6E42-9941-89FC2DA06DDB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5F2D06AA-1E10-DF4A-9D2F-99062EA2B2A2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865CE189-8881-DE4F-ABA5-17E6C4B41B34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1AFB54E-6411-8243-92F7-A7375DD0D11B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1978588B-D631-FC49-B1F7-9078B74A3557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3144453-4A04-DB47-B5CF-86A531BE3551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70A075B-1199-E14C-8102-DB8FF47A7D33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E07796BF-E0B8-1047-90F1-D36D56052F2C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9A8FDBAF-EE58-AA42-A2B7-8861DF5BE04D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2D1BEBC5-BC63-1E41-B526-BCC09CBB8C13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5E562ADF-B8C3-6A44-A36D-975DE71A2613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E2FF759B-A95D-2148-8D39-C168D81AE68C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8D2EE066-6895-0745-AC3A-8C622FE5473C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6F221473-7244-074F-B303-A1C172EFC797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3E4357F4-DE48-014E-9C74-83CDFE94FE6E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CC6A09DA-B24C-7341-8C75-685282F7C28A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59B9F354-0DB6-1144-8424-5C2D1A23D45A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79911D51-8232-274A-B665-AAD914642EF9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021D3882-94EC-164C-894B-146E3BB88967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66C08C71-7936-3445-B62A-D00140231522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9D850E8A-1912-464A-B372-65D59D70D3E8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47D024B9-F1D5-314B-8CF6-9AD3ADA4D400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D568E94-ACF7-3D40-989B-827EE5182EA9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FC10445-C9BA-6940-ACDE-4C234DA0970A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1D9FA21-A85F-6C47-8A47-71F91EECEAAA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EC5F35D-5074-1A40-BAE0-EE7AACFE7B3B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3C23E6F-0770-8C46-B9D0-80473A8538EB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10EE46-6E82-8346-9FCC-4055178D6C98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67DAE9-124E-884D-AE4D-D5AE55A3C3A2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2FDCAE83-5653-CA4A-9551-BA436C5A7081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3F6FA1A0-55E6-164C-9A88-0B80C79D31B4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E88608-F71E-0C4D-8CAB-C69C9AAA7EB6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7B0D4E45-9E71-154C-B870-6D7347F2F87C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63CD9EF9-1446-E142-9D8F-BF388D1D8401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BBA01-4CBE-BB4B-94EA-ACAB9D635384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A060DC9A-B0A2-D54D-886B-86F149A508BA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CDBE9199-EE3A-E544-BDA7-A0F732342C26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316D31DD-3019-5E42-A605-A0CE66AC9F24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655C7388-1A22-A148-80A9-FC539B7EEF03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1F909D86-8CAD-384C-9B6C-E5A4E3A13974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2B1BC8BE-B3AA-2A42-A4FC-3161988E6931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CEC9A2DF-26B9-4F4D-B7C6-C9FD92FC02D0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671CB0CA-5D14-ED40-8227-E02DD40FEC00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DBEC428E-CB7B-CC4E-8440-CA26D0C9CD72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AFCFD79A-9BEF-A949-B76D-BBD9A284EB6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694BE31F-EA36-DF4A-BC2C-71B7B326EB0F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553A178E-DACF-6F4F-ACC2-6CF622B54026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832F6A39-23DB-9146-9BC3-D6A7C41B3DD8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CF4D3E33-0F84-174A-BE20-86C9BB1BCEFB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7123C78C-EAD6-B74E-A53E-5D2ECE568816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B0A5DC63-C664-484E-BF56-7D710E1993ED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A2DFF3D-73D2-0C42-9C0A-330BC4268BAC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F2090D7-9F66-0748-A42B-3860E07C1669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CE0C828-D5A9-2D47-BF59-8C309606169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812D45BE-EC5E-1841-82AA-3B11D914ED17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8D9274-2C4C-AC4C-8AF0-D622F3A6501B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34A9D19-295B-BF4D-9717-D3747FEAD45D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23EB70D0-E943-D845-900B-DF0F5F4ACB2F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F379F5E-748E-6045-AEB0-C72AB27083F4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65FF2EB-4C42-9646-9BBA-8BF9756E3170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8D06FBED-8563-B14C-9F36-DD4C8DC8E955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72D8CE68-A938-CD4E-9D5A-FA06A443E447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9184922-B433-ED4A-A993-25B9CC58030C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6938E1F8-20CC-E24A-95C6-2FC2C1FAA9B9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784D3D17-5775-D64B-8512-125F3C2A8A55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D4E0BE20-BD19-E148-9920-80F80D3B7FA9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1137C525-65C1-C149-B776-6F0C9008EFCE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2904BC3D-F63C-A348-BA64-EAAD31A7F769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714D78D7-B011-594B-A054-7D1E1F22400F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40E068D8-6287-9F45-AB8D-756A26C35C78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09F88D05-9D97-364F-9265-E624DFD9041D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C559ACB0-113D-AE4A-9B27-6385D57EE3F7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ABBAA205-DEFB-394C-8608-D03BFCF0A8DB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A24C4FBE-765A-B444-9A7B-89EF969D8EFD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04E61EF4-0EB0-1B4F-96FA-6F3E4EFC6FBB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A87BA0B7-2093-6541-B783-8D9F626D1146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6569F922-6872-374B-9A4C-F806154064C1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4254903E-2135-3E4A-BD6C-2A813B297756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DC4FA97-37DC-4345-81EE-3DC7E634F152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DB40CD5-AAE5-574D-88E6-4E6CC82FFBB0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55A8D79-478E-E84F-B7FE-194EF68694EC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55ACD4A-7B78-E042-B5B1-0824A5A4D269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BD054F8-DE2F-B04B-AD3E-9A7CCA5E1419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62A111-9D3E-5045-9AEF-D518100C49C8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53D46D-126D-8F4F-A665-B5DA55C5B790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7D01A16-A272-AC42-A085-0CAB816EEEB8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51C8876-755A-B94A-BFE4-894D107024F5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1E2760-D54E-FD45-8C2A-17BA35172DE1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C3AD4E13-7DD8-9446-A924-E33F19C73BE5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7F9FB42C-FD2D-F34E-8023-73F9CE6F3C3C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F92C38A-2ED9-2D46-AE91-E0A9B40C8CD7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054C2101-76F9-5642-B1CC-38285A15C177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8B99BD68-D4F2-3446-B95F-3F531A204EB8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D2D284AC-0AAE-4E42-ADAD-95CD04530D79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CC105739-1173-634D-8C0B-8EA645054B93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1FF01DCC-1BBF-C440-B24B-5BE9C9C6869A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17EA3E78-7DBF-F847-8355-2B8E5776F8D5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74E20A16-367A-8C42-93A4-DC562B75300C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C38933E3-12B9-C34A-82B2-C4B754230535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4BBED0C0-5E42-364F-8137-73E5131E3E49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1CB631EB-6691-8A4D-99D7-9F9BA9BB52E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59B13C28-C769-8E4E-84DC-C8FEE9CB7030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642EA862-FD74-D746-A35A-BC70051800F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830CEE2C-C0BE-6645-820B-B92DB3669D66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CA36ECDF-7C06-EC4F-8E32-A3EBFDC72129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E7ADD19F-2CC7-F142-A08B-12D9F5F58689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BC81097-3EEF-814F-9DCB-6758414B0B81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61700E0-CD58-7747-AFD3-A3BC71676B68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B440379-C769-2941-8C0D-87E7E0437BE1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376CD5A2-1D64-1040-A409-A69EE3D7D242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4F45EA4C-878C-054A-A34D-F68292F9B44A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C078E5-F59C-AC49-B0D6-A59468DBE182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C433834-F097-4848-A43A-5C7B8651542A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C49E0D43-C0E8-AF40-9AC1-B5E24C61366D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116B15D-D780-F143-97F7-3069A2A6CF9C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8C0B383-3006-C444-854E-2665D6C08272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677F848-975D-0F4F-89E4-161BB370FF3B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EC5FE0D-B601-7B40-95FC-588966A0E733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A38FD43-CA95-A34E-91D1-139F9A736790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FA721BD6-69C5-0E48-B6E0-5C8C20045D92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4469CD32-D8BE-1D46-BC40-7CF8F779AB93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6C2B6FB6-C469-0E4B-919C-1B352DD914B1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53224B1B-4BCE-C847-9D43-88FF2EB8D8D8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4C6E6FC2-9D67-1D42-B432-611300E0813E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AA04D384-7C19-1641-A259-5B36B7BE12E0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DA978153-FC55-1D48-90FC-2E729FB8877F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3DA45BE5-B445-0644-BAF1-C20546A6EA81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36024656-8180-6F4D-AAB1-BA83A33A7642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1F44DB92-10C2-FA4B-85C8-8AC9A3A5F3FE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258CE2CF-0510-1647-9ADD-B32C201FC15D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215F8C25-08D5-E346-84F1-FD0A384F6F7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2F53B647-DB62-9A4D-B794-A1156D1DF81C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1B249F99-0075-DE48-B13E-60C2E240D51B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419F34D1-7485-1C44-9F9C-545A2D3E2640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1886504-C518-8744-A336-F14824EFB151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5B7141A-B695-9D4D-A050-7C11791D632F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5BB6222-F060-6043-BF96-59B38C1E4660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60D4432C-8B09-E84D-9C4A-A10F39368F9F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E55274CC-0A90-A24F-B477-94C31E716E4D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2D5FB0-D1AB-A84B-AC61-BBC19C66CDA1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52BA9C9-1E5F-C940-AFA9-83723669B1AB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109715A-A969-DA44-91E9-FDA6CAEBC67F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D34BE184-AEE3-FE40-93A0-7A7C9F6E9A2C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584C975-5DA9-4E45-913D-1DE8D0886039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2DE9F534-4EE9-0F47-9E18-A1F3683BEDBE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42B4F73B-543F-DA45-A89A-AA0C9D6838F0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01F4D73-8CD5-FD45-B1E7-91DF3E74ACFA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583D6CD6-929A-744A-A087-03992F787FE7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FDEDA9C7-BC2B-CD46-8EA7-A9425156F3E6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FB3C6E16-730A-824A-A1EA-620F405346C4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667E3B59-2B3A-824A-BD4A-1C51F2DFD529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07CA64AC-943B-5143-BCCC-AF68EC58D865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E6F79C68-FE64-0741-BF48-06EDE7415D30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E99CFA4C-F604-334B-AD4D-1EE6499CC148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02C764A5-A46A-754F-89E3-BFDFDDC80C2F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3A9B8EC1-2094-FC4C-BA70-E3ACDCDD72D4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85F567E5-5546-2448-A4EB-BC95FD1788BA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105E4175-8D92-054B-BAFC-FD01E7B3F3CB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B7942911-E51E-264F-BAD9-B389ADAF23AE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209CAC50-0675-904E-BD0D-AD178DDEF098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9C5405BA-7615-9742-B36E-BCE8C989524C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60609602-CB5C-1D40-8D02-ED120AB51A23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A6010D9-3FC7-CD48-BA05-D649EB64B4E9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ADB64727-B965-8243-A655-C751C8FDB15E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6691176-D86E-9847-BB15-426B8E36EE5E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B50449FA-BED1-F34A-B5FB-CB9ED5ED2F7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C54C4A0F-9F7A-154A-B7AB-220A28FC3861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6D4484C-2563-8542-9380-666664309D6F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52430F-76C2-6C4E-B39C-007B62B4B83D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8E6C11C5-C7C0-5F4A-9951-79B163DE0F08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91B414A-D168-5343-832C-9C353C22966A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25989A-ACEE-004B-A01B-1B530F9CCC73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84DD4EBB-63A9-8940-AC5E-AB063806EA7C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93DA155-FDB2-864C-BC70-85042364B446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7C9A758-D898-2B4A-BDCB-97293E32697D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CBA0DD26-E09B-2646-823E-F8F481D4A47B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20F68F29-8B82-0B47-966D-6DDD8BC1F5FE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C8D30DB4-0778-F44B-90F5-80BB7BFEE148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DB69CD21-D8EB-7442-B14D-82B0AAF726B5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6305F66C-B2FA-C84A-8725-224B49E94871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DE9BA2B0-3EB2-7442-BE48-BCB761873E99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48466391-E1E1-3C4A-9BFF-DBD5C335FD07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F7B69AD0-A5AD-E346-9DEC-9C3429E7546D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BD0045A3-029D-3549-8F88-2A2F8F770941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39A6BC02-676F-4542-8018-711C6C6DC1F4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BE5D91F8-CF74-1741-AD25-3F64C73A1399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D83F1DA2-BC60-7C4A-A291-0B9224E0A1B7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FF51E6EB-0D44-B94A-87F7-0DD6CEB154BB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54C20737-6177-7B4B-8551-195A89EEB685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1862323B-4D2B-1B4A-9A0D-A1412DD58E2B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2BDA28A-0AB1-AC4B-8858-5BBA71F07620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725B0CD7-27ED-3041-9175-2A3912A2DD6C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2562BE0-3396-FA46-A077-3947D0E8AD65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70737242-C9D3-5D47-8FF0-80D022080AF0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F5762F2-A739-0040-A693-67820FA30D68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A755B-EB51-3040-8828-70F3651415EC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6F5066-C7DD-C24C-B02B-80A84129BBF1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E6CB082F-DDD9-584C-B685-40E7D670C6D3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13466187-BC44-A745-96FC-8D7E43E2375E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A3BFBC-BA03-5344-814C-11837FC17CDB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24484D9-9957-7044-8E10-C356F2378060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F59A022-7431-CD4F-A3A5-08B4A198132D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0DB9724-C9D1-B743-967E-BA17A679358D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CE3B9DA3-459B-7245-ACDD-0ECFABDB72EA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C92FC8A0-8F97-5644-8429-C4C2E95CF294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71DC129C-270D-7E45-8DD7-5C4E52F3FB0A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10A128ED-60A5-1C4E-8C3E-E7F6D67EDC56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477D93B4-B4D9-5C47-B7BB-309C517B6BF6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56CC13FB-F3AC-DB44-8043-DD6EEE96C48D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758D8198-FC1F-EC41-B89F-06633C2D0D50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7947E574-511F-8B4A-AEDB-FB1EB0F10D1C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3C273008-7540-1648-A635-17447CAF47CD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A7D19A2C-91E6-EC46-8162-32D194F3649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9A7A1150-BA67-0843-BDBE-B60DE750D8A4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9E93E19E-FE9A-B345-8478-5821EC9E6966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99075F02-267D-2645-BA62-A0E6118ED853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398DEDA6-3556-8D44-8093-A1FCC3D1657C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C5826BB5-EB3F-7D4D-9E18-3F59D842A8C3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8F8BFA6-A7FD-E944-8336-135B39A46290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90F04FF-E749-5548-821E-945BA7D4AB73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40E9238F-5DBE-394E-9B0D-3CDABA3BF63B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530B271-5CC6-0340-935D-4E626B80D234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8FA4FD39-6D66-F34A-874D-AF357542FB0B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679B8CF-ED91-BB4D-BACC-DDB182DEBA95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0072EC-6317-B846-9ED1-1DAB509739E1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C5C6A1D1-D5FA-B54F-ADE3-23F9105C1DC7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6383480B-28C8-E547-9BD6-D6BE792148D5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621F99-2592-0744-BC0A-710E8132EF28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DD585CFE-E476-3241-894B-803025050481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8491ABF7-83F6-564B-AD48-F2B64719AF2D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A953C74-73BE-6F4F-AB82-66DF2D1CDD81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7DEA0DB3-4EBB-DD4F-AE40-266AE565A05F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83CB2296-2956-5A4B-8AE1-0CF21F296AED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A3265BED-B8CF-7C4D-B638-5E5C128889A5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3620B5FA-C110-714D-8D0F-FD71CBEEC6AC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FBB31A36-A68B-124C-95EC-A84079950913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474D8046-829F-E043-9644-80A769246AA0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1BE6FB0B-685C-8649-AAD0-EA459AE3CF69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F76BAA1E-F078-3D40-B5D5-DCAC5DDBF234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DA4BC0ED-F641-E049-9780-13F9F15F4A1E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B9E9D1EE-ABCD-EC4C-A7A0-3BF1EA41387E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AAEA52F8-E317-2E4C-B459-A5F0B7A86A33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DA827E48-8294-954A-A811-30CEF55CAB87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8DA21874-4145-A440-94B9-85B6313D4808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522E2447-4540-DE43-92AF-1FE6E223F68E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78A2A13A-2E42-1849-A6F3-20887A6571C6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D5E54C2-1BF2-7641-B9D2-0563F3F1C15D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F7B3059-552A-1C43-8718-8E74D860CB91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5BED841-11BF-044B-AB21-974881845704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99053E28-AB96-0F4B-BF85-61CE5C9CEB89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693A335-9EB9-2A4A-BE98-317DCB12AE47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634D80-65C1-E344-AF71-5CB9F95A879D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F4FE7D-A177-A441-B250-A9664F1FE663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8E7ADBEA-F9AB-FF4D-945F-111E9A7DB494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F8DD3E7B-FC22-DF4E-90A8-DBDA58EDD227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3E31A-298D-4443-B267-FC20C5269FA9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B76FF77-331D-D847-B38A-C66469618FB2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3DDA796-2BAC-8040-95B4-ACC598D0734E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5D9E251-BE6E-F04E-9FBE-DEEF8448A1AA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16A432E4-41B8-0145-9473-F055C18E1667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6B06CC19-6270-C849-827D-412028E672BB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7D0AE18E-9BE8-F54B-83DA-6FFA23DC73F2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DA16F350-607E-884E-A57B-6A109D868C1B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FC91BF43-D1C1-A74B-B7FC-669940C261CC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161333DE-C4E8-6C46-9107-F20F9BE72F0A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7A2EBA2A-6F41-E946-9D36-CA73C6046B8C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0D24E770-CA61-0143-BF7D-535F7CCB5976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D314299D-1F6F-AB41-98FB-388EEAE15F92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04D87F62-4FED-3748-BE81-E4B6385E0568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1E8EA3B6-6000-5C40-96EC-5BD98AE2E5AC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45508647-DC75-FB4D-820C-D324D0AE2633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0CB569D0-8DDF-614D-A707-E21DE6B241E0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707D473A-8296-6F44-A4D5-E94A7A4D04F0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247FFE25-A143-504F-8F86-833FEA09A191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FA402B1-A6BB-6C40-8D2C-D848A259D578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CF9EAC6-F9FB-2E4F-B642-5977DEF1A7D2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DF9A0BD5-EEEF-E847-8FA4-E1FF55D4CA8F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1B8542A-1869-894B-8220-FD39FED229E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709CC24F-C26D-4347-ACB1-8135065371B7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27B5A2-2391-CB4D-B758-BF9DDE53302F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7E6C36-9035-BB4B-8A91-A756D7993046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92FAC796-301B-CE4D-974E-F3919C8E9B21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E1AFEA47-6BCB-144A-87DC-05159366EFAB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C25B5A-7BD1-0F4B-BD00-9963891B4603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E7FBE76-75FF-D442-BC1B-FC3E3BD6EEB5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2179F34-1543-0942-903A-1184CDB4EC95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A5E3F53-6C1A-D248-B3DC-6F31F388D310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4EFC9925-445C-3F4D-A015-4A463BAD4B7E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365651BF-00ED-2449-8414-DE086D207F58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53489201-DCF0-B64A-937F-D652F36FCEFB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891B9FFC-63EF-DF4A-A3C0-59EB5DDDF3E1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2E2E5E92-AF9F-B941-9AC7-3C596225AB3F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1F270EA2-A810-D143-8004-EEA4A89621DA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34691E33-296C-794C-8122-0647FB8C16C1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3172AC32-5A83-A24B-9682-726CD73FD9D8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56D1E3B9-8774-3840-8A7E-99375BDBD6D8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7CC34BC9-F1BA-504C-A19E-218E649CB047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DD380F90-6D07-3D4E-8B4E-A279F06289CE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E93BB454-5F5C-EE41-935B-51EA28FE85EC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393456C6-C098-B643-9C52-01BCDFE30088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613CADFF-F002-BA47-8990-400C89575A8C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40D584A8-70FC-5247-9785-A72F453AA7DE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B14CCC3-BC67-B44E-837C-8840FE7C95CB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8029933-31A0-9142-B7B7-A5FBE2CDA96D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5EFC475-AB23-8D40-A9F8-7E76066A3182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D936C2C0-B3EC-B44F-9082-C076DC5E75DB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A7E5D7F5-F0C8-ED43-897E-0EE083AE80C3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B6E6B62-236F-9945-9DC4-46F36AD776FF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6DA9F0-C4A4-D747-82E4-4D5B27034221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ABD27D5-AD95-C649-B869-F01322F39778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1C571A6-76B5-9540-B468-FA32F9AAE698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CE85983-797C-CB4B-893C-86AAECE95206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DD1E685D-0374-C042-9137-D7C8D110A850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01EE859-896A-D140-82F6-EE127D49851F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AB2D05-7145-9741-A837-D98C5607574B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8BD01D8E-6725-914D-ADD9-4A4596C494B7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6B396F51-6506-1347-B2FD-8CC0B2D57841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180B6D41-92F1-4049-9884-622225C46D31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6A44E338-D822-CA4E-BAEB-CBAB5220177C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6CFE5019-8BB3-0344-8376-D50E545EDE43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3CC498D3-A9F8-6A4D-AF40-802921864F1B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800F6ABD-4CA1-9144-924B-0448BEEA0BA2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5B8AEEC7-97EB-AA4C-9600-9CD009D9D4DC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CA40FA10-D534-C04B-9992-A33FF5158C98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4BAD37C7-F0B4-B743-95AD-B6342776FB3F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078F98C0-7EFC-1848-9EF2-2847C0D23E95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E995BF7F-43AE-C84F-8526-A832AAE7DA35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F1CBED9E-30AC-2248-9913-548891379515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3AD24EEE-F39A-0D45-9CE1-C427CE0DFD6E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1674CD3C-AFF1-4243-B4DF-B5D54313A862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2995C35-04B3-C643-BD7A-1EE178C917C6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8CC6E318-6E7E-E144-ADC5-2B09F42E3ED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CF454D42-126D-B74D-9C9D-F5EE6F1068D3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8917B61-1597-D244-9BC1-D3C0DA7C2E1E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A551F9B-9E6F-9B4C-B0FC-0892F762A25D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24CD8E-D98E-9C42-9282-E5510EAD7F92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9BBC7C4-20F7-1C46-9D79-B98F274AFA00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5433DB06-2D5F-5A42-901F-88278B7C44EB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153A75C-B812-B94A-A231-19DC29D3CF3E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C235B7-90E2-6F4D-916E-AEA8C9C7363D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B17248A7-9070-CB4F-8240-C0423578CC24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87FE2C5E-CE0D-B547-9697-B4D4BAE00C17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B6EBB52-3608-6C43-BE1D-F49219A04CE0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81B72832-C806-AB44-BF1F-F432D1101D44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6DFDF6AC-E547-9B4B-B266-85EFCF1CAB98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B6E26293-6F4B-CC42-918C-3A80D4D10351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48E1D3B5-BC07-EE4D-828B-B8F0161D6B55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98328A0A-DB4A-0642-B7DD-C8B09830DDE5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4D40ED9B-57D5-FB48-AE7C-52B37202FAA8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0A9EA174-49A8-5847-AABC-78E7DF5CF954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BE102B94-0CCF-CB43-B6C4-F239055A1284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0A474617-ED18-1C4D-A32A-B9397A4AC032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F4D3DB97-8B14-5146-BAB1-BA97CDDA5FF8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4ACE1807-A4CE-AA4C-BEDA-80AAF4F8EF58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47BAA886-3E9B-6844-B2C3-478E4B006E20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333B23D7-243A-444A-931F-25DE33565224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5434E329-F52F-904E-A066-24F9FAA56690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AC6698C5-6CEC-3F4A-9669-85B70118BED1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CE6ADD6-BC43-3B4A-AC83-AD7BAC69168B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C1967B2-2FDA-254A-A4BA-8D72C510029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56A5077-0FA3-E344-9A03-0C74F69E1EFD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ED476214-54AD-1544-A520-F4E42FD748ED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612CA9C7-ECE8-0147-8601-1EEFAFD15839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FAE635-4CDB-1548-AA45-360E2C7E96ED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89C7646-57EF-6C4A-8905-214790D4B822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9A7D3A60-109A-9143-BFF7-42B14E8F8236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41A869F5-1993-354E-864C-BBF5E32DB831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572A505-A90B-5C4B-AD2D-A1D7EE102897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8FF0C961-62D7-CC4B-8AA5-8E85B82337DF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CBF1415-E773-F646-A518-F24CD2976BCA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146D6FF-0B02-794E-BB39-DD17E0D24209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0978FE87-E434-B74B-B76C-00153A891622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63857F04-0D33-2C41-8445-9DDD40AEE727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740FA690-0263-614C-8ABA-D6E8EF6291BF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4418F0F6-BDCA-F54A-9E42-4412BC2CDFCF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AAC85FD0-0726-7B4F-9284-7D74C8246ABF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434A0037-3ECD-4A4B-8066-573C6387D30C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DC9404EF-00E1-9147-B54F-C83CBCCD3C91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C1490220-95D5-3E40-B4D2-70E0BBCD74FB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6576BB1A-1BE1-D84F-9737-5A45F72DAA27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C43E0566-37FD-EC49-A0D6-8195B429BD94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D64253BD-CA97-4E40-8860-03DBE3D5FAC3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429500F2-B108-9B44-A9E0-8835467B9CC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018E27C5-4F2E-F845-A6CC-156F645CBD59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BBBFC50F-4F18-8F41-8262-13DF2DB9F5B1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5E853879-4DD3-334A-AAB3-44B8D57F1139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65B72CD-2586-4F41-A742-3B01CF556B1D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D2CE5716-867F-734D-B8BF-E1E0836C712A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358F182-202E-B747-B5A8-B76B3E28152F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C9F489D1-8C45-8B4F-9C0B-6F49A6D9A569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94766958-3205-AA4C-8C71-6097C263D628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4FF2EB1-D854-5E4C-9907-E5FB4B81B1F7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92682D0-2052-7B47-AC50-B390E1513BD3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92BC6506-E3F9-A846-B5E6-0350FA157DD0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6D2A2EC4-92C2-1B48-A066-7BA7401B1341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EF1673-BEC8-164C-B688-BDFFE8C03F5E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23C6FB52-2155-604A-8BFB-BE2C6D78C8D7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C8DF3A19-0A04-794A-927D-972DFB513981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05AD57B-1C1D-914F-A7A0-A407EF9EF6DD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80848B32-FBDE-BE4A-8B8E-10EA6129C224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2B3E94EB-0B4B-944F-B36B-8FCC1C376F31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6AFAF8F4-6A87-3645-AE69-09553A1C7740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312249DB-3289-8140-B2DE-932D3A5C95DC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F8FD3CD6-8243-FC4C-BCD7-0F8557E8DC47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76360810-B6E4-1C48-8205-F21B3520F18F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1B557730-20A5-C543-897F-B2FFA62FD479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03D7D328-86D9-0B4B-ACC2-4975CAB4B7C7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A7B0CDCD-3A37-D64D-8CC1-DFC4C2A9AFE1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2C45D8E1-B243-974D-B60F-2A56A34BB0E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9F5E8D26-75EA-AC42-8809-9773505B0458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09326EE5-ACCD-D245-B168-A8397755849F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3A144D9C-356C-C946-8EE0-937A6470A49C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B46D7D50-0701-C145-9E06-8AFC8DD41B95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BC0E74FA-B74A-424F-A21A-A94C8C1C0CCD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6FFF38B9-49E4-1742-8078-A63379445D14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E9E5E98E-B051-A54D-99A8-5967712E2CA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5912C1F-E040-854D-B08D-91239C4C9113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B046F6C7-CE23-E34F-B90C-2827008B229F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ED45A402-4F2E-BC4A-967D-6077D778C304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6EA474-9B46-D04A-B3A6-94AE25544048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837092-CBB1-964B-9EF8-253124201DC2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6ECFE381-9A97-4C4E-82A8-F74A01CD3CEB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D652FBC7-0513-F94B-900E-DA05F99A6562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74A41E-99FD-8341-8C85-E557CC3CBE51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B917D506-4EFE-F84F-A943-E4FD835B06B7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91F79C5B-FD91-BC42-A6DC-F1AC59A86848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3DCB7B1-2439-4744-9FDD-04CAE7E184C8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5A0CC88E-7718-DE42-A621-5657E6FB1DE1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9A7C086D-90D5-B74E-AF99-D360B8106D73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C99B5773-75B6-6441-9048-236B12AD1127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A7F5DD8F-D474-5D46-B349-42DFCDC4AC74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D0DC3A01-F8A8-6D44-911B-5269A8741560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7B51DE5A-BDFD-8C4E-9906-BACEB7E3EBAD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1D054DE2-AE2C-9E47-95BC-8B6F1EBC2808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67BFC8F9-F6ED-0540-893F-BE8B962674FE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220D3ACA-5E3A-8C4F-9C51-3F690889EE59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984EAEAF-A8DA-7E4E-A4AA-83994746851A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8BE53ECE-0C16-1C43-A63F-A642FBF36CD9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2C25CC10-4724-624D-A168-0309D4B7DBBA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23AD5F3B-590E-B04A-9B2A-DC9964E54C49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DB8FFEBB-7EAB-964F-B03B-650C7282D2E5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D6792D3C-5F8E-E940-BB4C-6E1400E7769E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77E4AB2-A083-3F4F-B3A9-11D1302CF03E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49C5F84-CBD9-5D44-8609-422C76033580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17141840-97A9-1246-9E1F-8431504EB11A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F22E6809-0324-C840-9EEF-30A97A98CE49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791720BD-2A13-C34C-830B-E37EBDCAFD64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145F6C-2F94-EC44-9D2E-35D03722D404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20E7CB-FAEC-A64B-96BF-BF20E96DBC41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5A3F2C7-48B6-9347-ABB8-8173464C2A5D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527A4350-7CE8-D846-A1EF-0F2566DDFF23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B81EDEE-9532-A647-89C2-DF75A473D6D2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266618FD-DCC4-564D-B71D-87EE26D8AE8E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ACF0C31-23F9-C147-895C-989D03285D54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6450CB-BCF4-424C-A49D-09F6F043258A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4BE3B728-DAF4-8448-BD41-6ACC721946F0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EDD5A779-62F2-1441-A873-529CF15B649D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C1DB02EC-2209-974C-9BF7-83705A047274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CF6C2003-81AE-FC4A-9457-BAA90BCCDE5F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ED091E48-7577-7F40-BF9C-4B2B29F2D3EE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471121F9-11AF-CE46-BF65-9E14A17EDC08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2A48503F-8595-AA4B-AED0-E6C00F8968B3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858B0DDC-21F1-3D4D-866C-62B973163C61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9F7CA8BE-6209-4B4E-8BB1-56D88CF995F8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111C6964-B914-9248-AB06-07D1290A0E5D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BC2FEFFA-B298-1949-8A80-E7BD96784AFB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8996BCA8-E7EF-2748-8639-8270F75C0C82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B8EB97D5-2F91-0C43-A715-96160BB3BA1C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7529FFF3-5B8B-AF4C-9ABF-E14442A1DAEB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7E8EE77B-5F53-A44D-8EDD-8C353EB64ABC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16F9550-7C2C-664F-992B-A6BEBD4EFE58}"/>
            </a:ext>
          </a:extLst>
        </xdr:cNvPr>
        <xdr:cNvSpPr/>
      </xdr:nvSpPr>
      <xdr:spPr>
        <a:xfrm>
          <a:off x="1873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20DC040-7493-974F-A1BE-882B1B295657}"/>
            </a:ext>
          </a:extLst>
        </xdr:cNvPr>
        <xdr:cNvSpPr/>
      </xdr:nvSpPr>
      <xdr:spPr>
        <a:xfrm>
          <a:off x="381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AABA5D1B-CC8A-2D4B-9822-DDB0EF877D43}"/>
            </a:ext>
          </a:extLst>
        </xdr:cNvPr>
        <xdr:cNvSpPr>
          <a:spLocks noChangeArrowheads="1"/>
        </xdr:cNvSpPr>
      </xdr:nvSpPr>
      <xdr:spPr bwMode="auto">
        <a:xfrm>
          <a:off x="381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50142E6B-8E82-E145-AF93-F01019B3D49E}"/>
            </a:ext>
          </a:extLst>
        </xdr:cNvPr>
        <xdr:cNvSpPr/>
      </xdr:nvSpPr>
      <xdr:spPr>
        <a:xfrm>
          <a:off x="76422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34A9747-B9EE-1547-868A-A9FB1416368A}"/>
            </a:ext>
          </a:extLst>
        </xdr:cNvPr>
        <xdr:cNvSpPr/>
      </xdr:nvSpPr>
      <xdr:spPr>
        <a:xfrm>
          <a:off x="74930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F6A9CB-B78A-BA47-A330-6D550B9F1E5B}"/>
            </a:ext>
          </a:extLst>
        </xdr:cNvPr>
        <xdr:cNvSpPr txBox="1"/>
      </xdr:nvSpPr>
      <xdr:spPr>
        <a:xfrm>
          <a:off x="60071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C98F09D-6DE4-F24B-922C-4D4783D107FB}"/>
            </a:ext>
          </a:extLst>
        </xdr:cNvPr>
        <xdr:cNvSpPr txBox="1"/>
      </xdr:nvSpPr>
      <xdr:spPr>
        <a:xfrm>
          <a:off x="134620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C425F43-1212-7E4C-930D-DE114EA289F2}"/>
            </a:ext>
          </a:extLst>
        </xdr:cNvPr>
        <xdr:cNvSpPr/>
      </xdr:nvSpPr>
      <xdr:spPr>
        <a:xfrm>
          <a:off x="145129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2F596677-AE40-6146-BDBC-0A8BF9DA01C1}"/>
            </a:ext>
          </a:extLst>
        </xdr:cNvPr>
        <xdr:cNvSpPr/>
      </xdr:nvSpPr>
      <xdr:spPr>
        <a:xfrm>
          <a:off x="143637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36853C6-C614-514F-BFA2-3BEA1E2AF96A}"/>
            </a:ext>
          </a:extLst>
        </xdr:cNvPr>
        <xdr:cNvSpPr txBox="1"/>
      </xdr:nvSpPr>
      <xdr:spPr>
        <a:xfrm>
          <a:off x="203327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F9B7804A-248F-7C40-ACCA-822DAC37683C}"/>
            </a:ext>
          </a:extLst>
        </xdr:cNvPr>
        <xdr:cNvSpPr/>
      </xdr:nvSpPr>
      <xdr:spPr>
        <a:xfrm>
          <a:off x="21967825" y="8537576"/>
          <a:ext cx="1397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2DB3114F-20BC-E64A-A27B-BE47B5204466}"/>
            </a:ext>
          </a:extLst>
        </xdr:cNvPr>
        <xdr:cNvSpPr/>
      </xdr:nvSpPr>
      <xdr:spPr>
        <a:xfrm>
          <a:off x="21818600" y="8394700"/>
          <a:ext cx="149225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4080BA8-A850-8946-9765-AFE744F02A78}"/>
            </a:ext>
          </a:extLst>
        </xdr:cNvPr>
        <xdr:cNvSpPr txBox="1"/>
      </xdr:nvSpPr>
      <xdr:spPr>
        <a:xfrm>
          <a:off x="27787600" y="8966200"/>
          <a:ext cx="854075" cy="7874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15" name="Rounded Rectangle 3">
          <a:extLst>
            <a:ext uri="{FF2B5EF4-FFF2-40B4-BE49-F238E27FC236}">
              <a16:creationId xmlns:a16="http://schemas.microsoft.com/office/drawing/2014/main" id="{CE00096C-9657-2045-9848-A40D6333C101}"/>
            </a:ext>
          </a:extLst>
        </xdr:cNvPr>
        <xdr:cNvSpPr>
          <a:spLocks noChangeArrowheads="1"/>
        </xdr:cNvSpPr>
      </xdr:nvSpPr>
      <xdr:spPr bwMode="auto">
        <a:xfrm>
          <a:off x="381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16" name="Rounded Rectangle 3">
          <a:extLst>
            <a:ext uri="{FF2B5EF4-FFF2-40B4-BE49-F238E27FC236}">
              <a16:creationId xmlns:a16="http://schemas.microsoft.com/office/drawing/2014/main" id="{F3AF53C8-7FB1-CF41-B2EF-0E8C4C382B01}"/>
            </a:ext>
          </a:extLst>
        </xdr:cNvPr>
        <xdr:cNvSpPr>
          <a:spLocks noChangeArrowheads="1"/>
        </xdr:cNvSpPr>
      </xdr:nvSpPr>
      <xdr:spPr bwMode="auto">
        <a:xfrm>
          <a:off x="381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17" name="Rounded Rectangle 3">
          <a:extLst>
            <a:ext uri="{FF2B5EF4-FFF2-40B4-BE49-F238E27FC236}">
              <a16:creationId xmlns:a16="http://schemas.microsoft.com/office/drawing/2014/main" id="{15977D38-ACF0-F64F-AB00-B775A71A9452}"/>
            </a:ext>
          </a:extLst>
        </xdr:cNvPr>
        <xdr:cNvSpPr>
          <a:spLocks noChangeArrowheads="1"/>
        </xdr:cNvSpPr>
      </xdr:nvSpPr>
      <xdr:spPr bwMode="auto">
        <a:xfrm>
          <a:off x="381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18" name="Rounded Rectangle 3">
          <a:extLst>
            <a:ext uri="{FF2B5EF4-FFF2-40B4-BE49-F238E27FC236}">
              <a16:creationId xmlns:a16="http://schemas.microsoft.com/office/drawing/2014/main" id="{B094B528-BC00-A64A-826A-740109ADA692}"/>
            </a:ext>
          </a:extLst>
        </xdr:cNvPr>
        <xdr:cNvSpPr>
          <a:spLocks noChangeArrowheads="1"/>
        </xdr:cNvSpPr>
      </xdr:nvSpPr>
      <xdr:spPr bwMode="auto">
        <a:xfrm>
          <a:off x="7493000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19" name="Rounded Rectangle 3">
          <a:extLst>
            <a:ext uri="{FF2B5EF4-FFF2-40B4-BE49-F238E27FC236}">
              <a16:creationId xmlns:a16="http://schemas.microsoft.com/office/drawing/2014/main" id="{B433ADEF-BFC1-5F49-8532-8E4023E9F5F8}"/>
            </a:ext>
          </a:extLst>
        </xdr:cNvPr>
        <xdr:cNvSpPr>
          <a:spLocks noChangeArrowheads="1"/>
        </xdr:cNvSpPr>
      </xdr:nvSpPr>
      <xdr:spPr bwMode="auto">
        <a:xfrm>
          <a:off x="7493000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0" name="Rounded Rectangle 3">
          <a:extLst>
            <a:ext uri="{FF2B5EF4-FFF2-40B4-BE49-F238E27FC236}">
              <a16:creationId xmlns:a16="http://schemas.microsoft.com/office/drawing/2014/main" id="{FA68117F-4FC1-224F-A5CD-00E630F70F17}"/>
            </a:ext>
          </a:extLst>
        </xdr:cNvPr>
        <xdr:cNvSpPr>
          <a:spLocks noChangeArrowheads="1"/>
        </xdr:cNvSpPr>
      </xdr:nvSpPr>
      <xdr:spPr bwMode="auto">
        <a:xfrm>
          <a:off x="7493000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1" name="Rounded Rectangle 3">
          <a:extLst>
            <a:ext uri="{FF2B5EF4-FFF2-40B4-BE49-F238E27FC236}">
              <a16:creationId xmlns:a16="http://schemas.microsoft.com/office/drawing/2014/main" id="{DBE791BA-F742-BD43-A779-BCC9642EA45F}"/>
            </a:ext>
          </a:extLst>
        </xdr:cNvPr>
        <xdr:cNvSpPr>
          <a:spLocks noChangeArrowheads="1"/>
        </xdr:cNvSpPr>
      </xdr:nvSpPr>
      <xdr:spPr bwMode="auto">
        <a:xfrm>
          <a:off x="7493000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22" name="Rounded Rectangle 3">
          <a:extLst>
            <a:ext uri="{FF2B5EF4-FFF2-40B4-BE49-F238E27FC236}">
              <a16:creationId xmlns:a16="http://schemas.microsoft.com/office/drawing/2014/main" id="{9C7CFF15-8BA4-1F4A-A87E-F89A1DC8D69C}"/>
            </a:ext>
          </a:extLst>
        </xdr:cNvPr>
        <xdr:cNvSpPr>
          <a:spLocks noChangeArrowheads="1"/>
        </xdr:cNvSpPr>
      </xdr:nvSpPr>
      <xdr:spPr bwMode="auto">
        <a:xfrm>
          <a:off x="143732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" name="Rounded Rectangle 3">
          <a:extLst>
            <a:ext uri="{FF2B5EF4-FFF2-40B4-BE49-F238E27FC236}">
              <a16:creationId xmlns:a16="http://schemas.microsoft.com/office/drawing/2014/main" id="{F3DB8544-988D-C741-A5A6-746815CB84C3}"/>
            </a:ext>
          </a:extLst>
        </xdr:cNvPr>
        <xdr:cNvSpPr>
          <a:spLocks noChangeArrowheads="1"/>
        </xdr:cNvSpPr>
      </xdr:nvSpPr>
      <xdr:spPr bwMode="auto">
        <a:xfrm>
          <a:off x="143732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4" name="Rounded Rectangle 3">
          <a:extLst>
            <a:ext uri="{FF2B5EF4-FFF2-40B4-BE49-F238E27FC236}">
              <a16:creationId xmlns:a16="http://schemas.microsoft.com/office/drawing/2014/main" id="{8FB5C951-8C59-2743-A3BA-0D444E334D91}"/>
            </a:ext>
          </a:extLst>
        </xdr:cNvPr>
        <xdr:cNvSpPr>
          <a:spLocks noChangeArrowheads="1"/>
        </xdr:cNvSpPr>
      </xdr:nvSpPr>
      <xdr:spPr bwMode="auto">
        <a:xfrm>
          <a:off x="143732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5" name="Rounded Rectangle 3">
          <a:extLst>
            <a:ext uri="{FF2B5EF4-FFF2-40B4-BE49-F238E27FC236}">
              <a16:creationId xmlns:a16="http://schemas.microsoft.com/office/drawing/2014/main" id="{D7E1C98F-4BB9-1D4E-B21C-D00B5A86D6AC}"/>
            </a:ext>
          </a:extLst>
        </xdr:cNvPr>
        <xdr:cNvSpPr>
          <a:spLocks noChangeArrowheads="1"/>
        </xdr:cNvSpPr>
      </xdr:nvSpPr>
      <xdr:spPr bwMode="auto">
        <a:xfrm>
          <a:off x="143732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26" name="Rounded Rectangle 3">
          <a:extLst>
            <a:ext uri="{FF2B5EF4-FFF2-40B4-BE49-F238E27FC236}">
              <a16:creationId xmlns:a16="http://schemas.microsoft.com/office/drawing/2014/main" id="{852C6D85-25F9-B847-ADFA-13576868EAFA}"/>
            </a:ext>
          </a:extLst>
        </xdr:cNvPr>
        <xdr:cNvSpPr>
          <a:spLocks noChangeArrowheads="1"/>
        </xdr:cNvSpPr>
      </xdr:nvSpPr>
      <xdr:spPr bwMode="auto">
        <a:xfrm>
          <a:off x="21828125" y="89947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7" name="Rounded Rectangle 3">
          <a:extLst>
            <a:ext uri="{FF2B5EF4-FFF2-40B4-BE49-F238E27FC236}">
              <a16:creationId xmlns:a16="http://schemas.microsoft.com/office/drawing/2014/main" id="{375CA0A7-CBDC-6F4A-B455-C2F724D9A25E}"/>
            </a:ext>
          </a:extLst>
        </xdr:cNvPr>
        <xdr:cNvSpPr>
          <a:spLocks noChangeArrowheads="1"/>
        </xdr:cNvSpPr>
      </xdr:nvSpPr>
      <xdr:spPr bwMode="auto">
        <a:xfrm>
          <a:off x="21828125" y="91725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8" name="Rounded Rectangle 3">
          <a:extLst>
            <a:ext uri="{FF2B5EF4-FFF2-40B4-BE49-F238E27FC236}">
              <a16:creationId xmlns:a16="http://schemas.microsoft.com/office/drawing/2014/main" id="{D5161D39-1C37-5F41-88E8-A87C752441CE}"/>
            </a:ext>
          </a:extLst>
        </xdr:cNvPr>
        <xdr:cNvSpPr>
          <a:spLocks noChangeArrowheads="1"/>
        </xdr:cNvSpPr>
      </xdr:nvSpPr>
      <xdr:spPr bwMode="auto">
        <a:xfrm>
          <a:off x="21828125" y="936942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9" name="Rounded Rectangle 3">
          <a:extLst>
            <a:ext uri="{FF2B5EF4-FFF2-40B4-BE49-F238E27FC236}">
              <a16:creationId xmlns:a16="http://schemas.microsoft.com/office/drawing/2014/main" id="{34E071A3-8E43-E446-88CD-47A9101D2508}"/>
            </a:ext>
          </a:extLst>
        </xdr:cNvPr>
        <xdr:cNvSpPr>
          <a:spLocks noChangeArrowheads="1"/>
        </xdr:cNvSpPr>
      </xdr:nvSpPr>
      <xdr:spPr bwMode="auto">
        <a:xfrm>
          <a:off x="21828125" y="95377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52</xdr:row>
      <xdr:rowOff>28576</xdr:rowOff>
    </xdr:from>
    <xdr:to>
      <xdr:col>2</xdr:col>
      <xdr:colOff>9525</xdr:colOff>
      <xdr:row>52</xdr:row>
      <xdr:rowOff>123826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5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51</xdr:row>
      <xdr:rowOff>38100</xdr:rowOff>
    </xdr:from>
    <xdr:to>
      <xdr:col>1</xdr:col>
      <xdr:colOff>9525</xdr:colOff>
      <xdr:row>51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1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0</xdr:col>
      <xdr:colOff>38100</xdr:colOff>
      <xdr:row>55</xdr:row>
      <xdr:rowOff>28575</xdr:rowOff>
    </xdr:from>
    <xdr:to>
      <xdr:col>0</xdr:col>
      <xdr:colOff>152400</xdr:colOff>
      <xdr:row>55</xdr:row>
      <xdr:rowOff>142875</xdr:rowOff>
    </xdr:to>
    <xdr:sp macro="" textlink="">
      <xdr:nvSpPr>
        <xdr:cNvPr id="2051" name="Rounded Rectangl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>
          <a:spLocks noChangeArrowheads="1"/>
        </xdr:cNvSpPr>
      </xdr:nvSpPr>
      <xdr:spPr bwMode="auto">
        <a:xfrm>
          <a:off x="3810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20</xdr:col>
      <xdr:colOff>9525</xdr:colOff>
      <xdr:row>52</xdr:row>
      <xdr:rowOff>28576</xdr:rowOff>
    </xdr:from>
    <xdr:to>
      <xdr:col>21</xdr:col>
      <xdr:colOff>9525</xdr:colOff>
      <xdr:row>52</xdr:row>
      <xdr:rowOff>123826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91527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19</xdr:col>
      <xdr:colOff>38100</xdr:colOff>
      <xdr:row>51</xdr:row>
      <xdr:rowOff>38100</xdr:rowOff>
    </xdr:from>
    <xdr:to>
      <xdr:col>20</xdr:col>
      <xdr:colOff>9525</xdr:colOff>
      <xdr:row>51</xdr:row>
      <xdr:rowOff>133350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287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16</xdr:col>
      <xdr:colOff>0</xdr:colOff>
      <xdr:row>55</xdr:row>
      <xdr:rowOff>0</xdr:rowOff>
    </xdr:from>
    <xdr:to>
      <xdr:col>17</xdr:col>
      <xdr:colOff>676275</xdr:colOff>
      <xdr:row>59</xdr:row>
      <xdr:rowOff>76201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2484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35</xdr:col>
      <xdr:colOff>0</xdr:colOff>
      <xdr:row>55</xdr:row>
      <xdr:rowOff>0</xdr:rowOff>
    </xdr:from>
    <xdr:to>
      <xdr:col>36</xdr:col>
      <xdr:colOff>676275</xdr:colOff>
      <xdr:row>59</xdr:row>
      <xdr:rowOff>76201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397317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38</xdr:col>
      <xdr:colOff>9525</xdr:colOff>
      <xdr:row>52</xdr:row>
      <xdr:rowOff>28576</xdr:rowOff>
    </xdr:from>
    <xdr:to>
      <xdr:col>39</xdr:col>
      <xdr:colOff>9525</xdr:colOff>
      <xdr:row>52</xdr:row>
      <xdr:rowOff>123826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5059025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37</xdr:col>
      <xdr:colOff>38100</xdr:colOff>
      <xdr:row>51</xdr:row>
      <xdr:rowOff>38100</xdr:rowOff>
    </xdr:from>
    <xdr:to>
      <xdr:col>38</xdr:col>
      <xdr:colOff>9525</xdr:colOff>
      <xdr:row>51</xdr:row>
      <xdr:rowOff>133350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4906625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53</xdr:col>
      <xdr:colOff>0</xdr:colOff>
      <xdr:row>55</xdr:row>
      <xdr:rowOff>0</xdr:rowOff>
    </xdr:from>
    <xdr:to>
      <xdr:col>54</xdr:col>
      <xdr:colOff>676275</xdr:colOff>
      <xdr:row>59</xdr:row>
      <xdr:rowOff>76201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1116925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57</xdr:col>
      <xdr:colOff>9525</xdr:colOff>
      <xdr:row>52</xdr:row>
      <xdr:rowOff>28576</xdr:rowOff>
    </xdr:from>
    <xdr:to>
      <xdr:col>58</xdr:col>
      <xdr:colOff>9525</xdr:colOff>
      <xdr:row>52</xdr:row>
      <xdr:rowOff>123826</xdr:rowOff>
    </xdr:to>
    <xdr:sp macro="" textlink="">
      <xdr:nvSpPr>
        <xdr:cNvPr id="23" name="Rounded 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22783800" y="8734426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56</xdr:col>
      <xdr:colOff>38100</xdr:colOff>
      <xdr:row>51</xdr:row>
      <xdr:rowOff>38100</xdr:rowOff>
    </xdr:from>
    <xdr:to>
      <xdr:col>57</xdr:col>
      <xdr:colOff>9525</xdr:colOff>
      <xdr:row>51</xdr:row>
      <xdr:rowOff>133350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2631400" y="8582025"/>
          <a:ext cx="152400" cy="95250"/>
        </a:xfrm>
        <a:prstGeom prst="roundRect">
          <a:avLst/>
        </a:prstGeom>
        <a:noFill/>
        <a:ln w="9525" cap="flat">
          <a:solidFill>
            <a:schemeClr val="tx1"/>
          </a:solidFill>
          <a:beve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72</xdr:col>
      <xdr:colOff>0</xdr:colOff>
      <xdr:row>55</xdr:row>
      <xdr:rowOff>0</xdr:rowOff>
    </xdr:from>
    <xdr:to>
      <xdr:col>73</xdr:col>
      <xdr:colOff>676275</xdr:colOff>
      <xdr:row>59</xdr:row>
      <xdr:rowOff>76201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28841700" y="9191625"/>
          <a:ext cx="857250" cy="800101"/>
        </a:xfrm>
        <a:prstGeom prst="ellipse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ประทับตรานิติบุคค</a:t>
          </a:r>
        </a:p>
        <a:p>
          <a:pPr algn="ctr"/>
          <a:r>
            <a:rPr lang="th-TH" sz="800">
              <a:latin typeface="Leelawadee" pitchFamily="34" charset="-34"/>
              <a:cs typeface="Leelawadee" pitchFamily="34" charset="-34"/>
            </a:rPr>
            <a:t>(ถ้ามี)</a:t>
          </a:r>
        </a:p>
      </xdr:txBody>
    </xdr:sp>
    <xdr:clientData/>
  </xdr:twoCellAnchor>
  <xdr:twoCellAnchor>
    <xdr:from>
      <xdr:col>0</xdr:col>
      <xdr:colOff>38100</xdr:colOff>
      <xdr:row>56</xdr:row>
      <xdr:rowOff>28575</xdr:rowOff>
    </xdr:from>
    <xdr:to>
      <xdr:col>0</xdr:col>
      <xdr:colOff>152400</xdr:colOff>
      <xdr:row>56</xdr:row>
      <xdr:rowOff>142875</xdr:rowOff>
    </xdr:to>
    <xdr:sp macro="" textlink="">
      <xdr:nvSpPr>
        <xdr:cNvPr id="2358" name="Rounded Rectangle 3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>
          <a:spLocks noChangeArrowheads="1"/>
        </xdr:cNvSpPr>
      </xdr:nvSpPr>
      <xdr:spPr bwMode="auto">
        <a:xfrm>
          <a:off x="3810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57</xdr:row>
      <xdr:rowOff>47625</xdr:rowOff>
    </xdr:from>
    <xdr:to>
      <xdr:col>0</xdr:col>
      <xdr:colOff>152400</xdr:colOff>
      <xdr:row>57</xdr:row>
      <xdr:rowOff>161925</xdr:rowOff>
    </xdr:to>
    <xdr:sp macro="" textlink="">
      <xdr:nvSpPr>
        <xdr:cNvPr id="2359" name="Rounded Rectangle 3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>
          <a:spLocks noChangeArrowheads="1"/>
        </xdr:cNvSpPr>
      </xdr:nvSpPr>
      <xdr:spPr bwMode="auto">
        <a:xfrm>
          <a:off x="3810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38100</xdr:colOff>
      <xdr:row>58</xdr:row>
      <xdr:rowOff>38100</xdr:rowOff>
    </xdr:from>
    <xdr:to>
      <xdr:col>0</xdr:col>
      <xdr:colOff>152400</xdr:colOff>
      <xdr:row>58</xdr:row>
      <xdr:rowOff>152400</xdr:rowOff>
    </xdr:to>
    <xdr:sp macro="" textlink="">
      <xdr:nvSpPr>
        <xdr:cNvPr id="2360" name="Rounded Rectangle 3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>
          <a:spLocks noChangeArrowheads="1"/>
        </xdr:cNvSpPr>
      </xdr:nvSpPr>
      <xdr:spPr bwMode="auto">
        <a:xfrm>
          <a:off x="3810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55</xdr:row>
      <xdr:rowOff>28575</xdr:rowOff>
    </xdr:from>
    <xdr:to>
      <xdr:col>19</xdr:col>
      <xdr:colOff>152400</xdr:colOff>
      <xdr:row>55</xdr:row>
      <xdr:rowOff>142875</xdr:rowOff>
    </xdr:to>
    <xdr:sp macro="" textlink="">
      <xdr:nvSpPr>
        <xdr:cNvPr id="30" name="Rounded Rectangle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780097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19</xdr:col>
      <xdr:colOff>38100</xdr:colOff>
      <xdr:row>56</xdr:row>
      <xdr:rowOff>28575</xdr:rowOff>
    </xdr:from>
    <xdr:to>
      <xdr:col>19</xdr:col>
      <xdr:colOff>152400</xdr:colOff>
      <xdr:row>56</xdr:row>
      <xdr:rowOff>142875</xdr:rowOff>
    </xdr:to>
    <xdr:sp macro="" textlink="">
      <xdr:nvSpPr>
        <xdr:cNvPr id="2362" name="Rounded Rectangle 3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>
          <a:spLocks noChangeArrowheads="1"/>
        </xdr:cNvSpPr>
      </xdr:nvSpPr>
      <xdr:spPr bwMode="auto">
        <a:xfrm>
          <a:off x="780097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57</xdr:row>
      <xdr:rowOff>47625</xdr:rowOff>
    </xdr:from>
    <xdr:to>
      <xdr:col>19</xdr:col>
      <xdr:colOff>152400</xdr:colOff>
      <xdr:row>57</xdr:row>
      <xdr:rowOff>161925</xdr:rowOff>
    </xdr:to>
    <xdr:sp macro="" textlink="">
      <xdr:nvSpPr>
        <xdr:cNvPr id="2363" name="Rounded Rectangle 3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>
          <a:spLocks noChangeArrowheads="1"/>
        </xdr:cNvSpPr>
      </xdr:nvSpPr>
      <xdr:spPr bwMode="auto">
        <a:xfrm>
          <a:off x="780097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38100</xdr:colOff>
      <xdr:row>58</xdr:row>
      <xdr:rowOff>38100</xdr:rowOff>
    </xdr:from>
    <xdr:to>
      <xdr:col>19</xdr:col>
      <xdr:colOff>152400</xdr:colOff>
      <xdr:row>58</xdr:row>
      <xdr:rowOff>152400</xdr:rowOff>
    </xdr:to>
    <xdr:sp macro="" textlink="">
      <xdr:nvSpPr>
        <xdr:cNvPr id="2364" name="Rounded Rectangle 3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>
          <a:spLocks noChangeArrowheads="1"/>
        </xdr:cNvSpPr>
      </xdr:nvSpPr>
      <xdr:spPr bwMode="auto">
        <a:xfrm>
          <a:off x="780097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55</xdr:row>
      <xdr:rowOff>28575</xdr:rowOff>
    </xdr:from>
    <xdr:to>
      <xdr:col>37</xdr:col>
      <xdr:colOff>161925</xdr:colOff>
      <xdr:row>55</xdr:row>
      <xdr:rowOff>142875</xdr:rowOff>
    </xdr:to>
    <xdr:sp macro="" textlink="">
      <xdr:nvSpPr>
        <xdr:cNvPr id="35" name="Rounded Rectangl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14954250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37</xdr:col>
      <xdr:colOff>47625</xdr:colOff>
      <xdr:row>56</xdr:row>
      <xdr:rowOff>28575</xdr:rowOff>
    </xdr:from>
    <xdr:to>
      <xdr:col>37</xdr:col>
      <xdr:colOff>161925</xdr:colOff>
      <xdr:row>56</xdr:row>
      <xdr:rowOff>142875</xdr:rowOff>
    </xdr:to>
    <xdr:sp macro="" textlink="">
      <xdr:nvSpPr>
        <xdr:cNvPr id="2366" name="Rounded Rectangle 3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>
          <a:spLocks noChangeArrowheads="1"/>
        </xdr:cNvSpPr>
      </xdr:nvSpPr>
      <xdr:spPr bwMode="auto">
        <a:xfrm>
          <a:off x="14954250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57</xdr:row>
      <xdr:rowOff>47625</xdr:rowOff>
    </xdr:from>
    <xdr:to>
      <xdr:col>37</xdr:col>
      <xdr:colOff>161925</xdr:colOff>
      <xdr:row>57</xdr:row>
      <xdr:rowOff>161925</xdr:rowOff>
    </xdr:to>
    <xdr:sp macro="" textlink="">
      <xdr:nvSpPr>
        <xdr:cNvPr id="2367" name="Rounded Rectangle 3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>
          <a:spLocks noChangeArrowheads="1"/>
        </xdr:cNvSpPr>
      </xdr:nvSpPr>
      <xdr:spPr bwMode="auto">
        <a:xfrm>
          <a:off x="14954250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47625</xdr:colOff>
      <xdr:row>58</xdr:row>
      <xdr:rowOff>38100</xdr:rowOff>
    </xdr:from>
    <xdr:to>
      <xdr:col>37</xdr:col>
      <xdr:colOff>161925</xdr:colOff>
      <xdr:row>58</xdr:row>
      <xdr:rowOff>152400</xdr:rowOff>
    </xdr:to>
    <xdr:sp macro="" textlink="">
      <xdr:nvSpPr>
        <xdr:cNvPr id="2368" name="Rounded Rectangle 3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>
          <a:spLocks noChangeArrowheads="1"/>
        </xdr:cNvSpPr>
      </xdr:nvSpPr>
      <xdr:spPr bwMode="auto">
        <a:xfrm>
          <a:off x="14954250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55</xdr:row>
      <xdr:rowOff>28575</xdr:rowOff>
    </xdr:from>
    <xdr:to>
      <xdr:col>56</xdr:col>
      <xdr:colOff>161925</xdr:colOff>
      <xdr:row>55</xdr:row>
      <xdr:rowOff>142875</xdr:rowOff>
    </xdr:to>
    <xdr:sp macro="" textlink="">
      <xdr:nvSpPr>
        <xdr:cNvPr id="39" name="Rounded Rectangle 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22717125" y="9220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Wingdings"/>
            </a:rPr>
            <a:t>ü</a:t>
          </a:r>
        </a:p>
      </xdr:txBody>
    </xdr:sp>
    <xdr:clientData/>
  </xdr:twoCellAnchor>
  <xdr:twoCellAnchor>
    <xdr:from>
      <xdr:col>56</xdr:col>
      <xdr:colOff>47625</xdr:colOff>
      <xdr:row>56</xdr:row>
      <xdr:rowOff>28575</xdr:rowOff>
    </xdr:from>
    <xdr:to>
      <xdr:col>56</xdr:col>
      <xdr:colOff>161925</xdr:colOff>
      <xdr:row>56</xdr:row>
      <xdr:rowOff>142875</xdr:rowOff>
    </xdr:to>
    <xdr:sp macro="" textlink="">
      <xdr:nvSpPr>
        <xdr:cNvPr id="2370" name="Rounded Rectangle 3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>
          <a:spLocks noChangeArrowheads="1"/>
        </xdr:cNvSpPr>
      </xdr:nvSpPr>
      <xdr:spPr bwMode="auto">
        <a:xfrm>
          <a:off x="22717125" y="9401175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57</xdr:row>
      <xdr:rowOff>47625</xdr:rowOff>
    </xdr:from>
    <xdr:to>
      <xdr:col>56</xdr:col>
      <xdr:colOff>161925</xdr:colOff>
      <xdr:row>57</xdr:row>
      <xdr:rowOff>161925</xdr:rowOff>
    </xdr:to>
    <xdr:sp macro="" textlink="">
      <xdr:nvSpPr>
        <xdr:cNvPr id="2371" name="Rounded Rectangle 3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>
          <a:spLocks noChangeArrowheads="1"/>
        </xdr:cNvSpPr>
      </xdr:nvSpPr>
      <xdr:spPr bwMode="auto">
        <a:xfrm>
          <a:off x="22717125" y="960120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56</xdr:col>
      <xdr:colOff>47625</xdr:colOff>
      <xdr:row>58</xdr:row>
      <xdr:rowOff>38100</xdr:rowOff>
    </xdr:from>
    <xdr:to>
      <xdr:col>56</xdr:col>
      <xdr:colOff>161925</xdr:colOff>
      <xdr:row>58</xdr:row>
      <xdr:rowOff>152400</xdr:rowOff>
    </xdr:to>
    <xdr:sp macro="" textlink="">
      <xdr:nvSpPr>
        <xdr:cNvPr id="2372" name="Rounded Rectangle 3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>
          <a:spLocks noChangeArrowheads="1"/>
        </xdr:cNvSpPr>
      </xdr:nvSpPr>
      <xdr:spPr bwMode="auto">
        <a:xfrm>
          <a:off x="22717125" y="9772650"/>
          <a:ext cx="114300" cy="114300"/>
        </a:xfrm>
        <a:prstGeom prst="roundRect">
          <a:avLst>
            <a:gd name="adj" fmla="val 16667"/>
          </a:avLst>
        </a:prstGeom>
        <a:noFill/>
        <a:ln w="9525" algn="ctr">
          <a:solidFill>
            <a:srgbClr val="000000"/>
          </a:solidFill>
          <a:bevel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10D6-31B2-8640-BEEE-D62F50FDAAD8}">
  <sheetPr>
    <tabColor theme="6"/>
  </sheetPr>
  <dimension ref="A1:BV65"/>
  <sheetViews>
    <sheetView showGridLines="0" showZeros="0" tabSelected="1" zoomScale="134" zoomScaleNormal="115" workbookViewId="0">
      <pane ySplit="1" topLeftCell="A2" activePane="bottomLeft" state="frozen"/>
      <selection activeCell="N17" sqref="N17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149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6903-006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6903-006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6903-006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1709901461237</v>
      </c>
      <c r="Q12" s="103"/>
      <c r="R12" s="104"/>
      <c r="S12" s="49"/>
      <c r="T12" s="47" t="s">
        <v>6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1709901461237</v>
      </c>
      <c r="AJ12" s="97"/>
      <c r="AK12" s="98"/>
      <c r="AL12" s="47" t="s">
        <v>6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1709901461237</v>
      </c>
      <c r="BB12" s="97"/>
      <c r="BC12" s="98"/>
      <c r="BD12" s="49"/>
      <c r="BE12" s="47" t="s">
        <v>6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1709901461237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116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150</v>
      </c>
      <c r="N45" s="120"/>
      <c r="O45" s="121">
        <v>1400</v>
      </c>
      <c r="P45" s="122"/>
      <c r="Q45" s="121">
        <f>ROUND(O45*3%,2)</f>
        <v>42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27/03/2569</v>
      </c>
      <c r="AG45" s="139"/>
      <c r="AH45" s="125">
        <f t="shared" si="0"/>
        <v>1400</v>
      </c>
      <c r="AI45" s="126"/>
      <c r="AJ45" s="125">
        <f t="shared" si="1"/>
        <v>42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27/03/2569</v>
      </c>
      <c r="AY45" s="139"/>
      <c r="AZ45" s="125">
        <f t="shared" si="2"/>
        <v>1400</v>
      </c>
      <c r="BA45" s="126"/>
      <c r="BB45" s="125">
        <f t="shared" si="3"/>
        <v>42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27/03/2569</v>
      </c>
      <c r="BR45" s="139"/>
      <c r="BS45" s="125">
        <f t="shared" si="4"/>
        <v>1400</v>
      </c>
      <c r="BT45" s="126"/>
      <c r="BU45" s="125">
        <f t="shared" si="5"/>
        <v>42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1400</v>
      </c>
      <c r="P48" s="149"/>
      <c r="Q48" s="148">
        <f>SUM(Q23:R47)</f>
        <v>42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1400</v>
      </c>
      <c r="AI48" s="143"/>
      <c r="AJ48" s="142">
        <f>SUM(AJ23:AK47)</f>
        <v>42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1400</v>
      </c>
      <c r="BA48" s="143"/>
      <c r="BB48" s="142">
        <f>SUM(BB23:BC47)</f>
        <v>42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1400</v>
      </c>
      <c r="BT48" s="143"/>
      <c r="BU48" s="142">
        <f>SUM(BU23:BV47)</f>
        <v>42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สี่สิบสองบาทถ้วน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สี่สิบสองบาทถ้วน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สี่สิบสองบาทถ้วน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สี่สิบสองบาทถ้วน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27/03/2569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27/03/2569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27/03/2569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27/03/2569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copies="2" r:id="rId1"/>
  <colBreaks count="1" manualBreakCount="1">
    <brk id="3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0402-964E-964F-BEE1-3370831CCC7D}">
  <sheetPr>
    <tabColor theme="6"/>
  </sheetPr>
  <dimension ref="A1:BV65"/>
  <sheetViews>
    <sheetView showGridLines="0" showZeros="0" tabSelected="1" zoomScale="134" zoomScaleNormal="115" workbookViewId="0">
      <pane ySplit="1" topLeftCell="A2" activePane="bottomLeft" state="frozen"/>
      <selection activeCell="J23" sqref="J23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148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6903-005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6903-005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6903-005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1709901461237</v>
      </c>
      <c r="Q12" s="103"/>
      <c r="R12" s="104"/>
      <c r="S12" s="49"/>
      <c r="T12" s="47" t="s">
        <v>6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1709901461237</v>
      </c>
      <c r="AJ12" s="97"/>
      <c r="AK12" s="98"/>
      <c r="AL12" s="47" t="s">
        <v>6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1709901461237</v>
      </c>
      <c r="BB12" s="97"/>
      <c r="BC12" s="98"/>
      <c r="BD12" s="49"/>
      <c r="BE12" s="47" t="s">
        <v>6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1709901461237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116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145</v>
      </c>
      <c r="N45" s="120"/>
      <c r="O45" s="121">
        <v>3355</v>
      </c>
      <c r="P45" s="122"/>
      <c r="Q45" s="121">
        <f>ROUND(O45*3%,2)</f>
        <v>100.65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24/03/2569</v>
      </c>
      <c r="AG45" s="139"/>
      <c r="AH45" s="125">
        <f t="shared" si="0"/>
        <v>3355</v>
      </c>
      <c r="AI45" s="126"/>
      <c r="AJ45" s="125">
        <f t="shared" si="1"/>
        <v>100.65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24/03/2569</v>
      </c>
      <c r="AY45" s="139"/>
      <c r="AZ45" s="125">
        <f t="shared" si="2"/>
        <v>3355</v>
      </c>
      <c r="BA45" s="126"/>
      <c r="BB45" s="125">
        <f t="shared" si="3"/>
        <v>100.65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24/03/2569</v>
      </c>
      <c r="BR45" s="139"/>
      <c r="BS45" s="125">
        <f t="shared" si="4"/>
        <v>3355</v>
      </c>
      <c r="BT45" s="126"/>
      <c r="BU45" s="125">
        <f t="shared" si="5"/>
        <v>100.65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3355</v>
      </c>
      <c r="P48" s="149"/>
      <c r="Q48" s="148">
        <f>SUM(Q23:R47)</f>
        <v>100.65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3355</v>
      </c>
      <c r="AI48" s="143"/>
      <c r="AJ48" s="142">
        <f>SUM(AJ23:AK47)</f>
        <v>100.65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3355</v>
      </c>
      <c r="BA48" s="143"/>
      <c r="BB48" s="142">
        <f>SUM(BB23:BC47)</f>
        <v>100.65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3355</v>
      </c>
      <c r="BT48" s="143"/>
      <c r="BU48" s="142">
        <f>SUM(BU23:BV47)</f>
        <v>100.65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หนึ่งร้อยบาทหกสิบห้าสตางค์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หนึ่งร้อยบาทหกสิบห้าสตางค์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หนึ่งร้อยบาทหกสิบห้าสตางค์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หนึ่งร้อยบาทหกสิบห้าสตางค์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CBBC-2D29-0C47-8030-2A7C25F92CFC}">
  <sheetPr>
    <tabColor theme="6"/>
  </sheetPr>
  <dimension ref="A1:BV64"/>
  <sheetViews>
    <sheetView showGridLines="0" showZeros="0" tabSelected="1" zoomScaleNormal="90" workbookViewId="0">
      <pane ySplit="1" topLeftCell="A11" activePane="bottomLeft" state="frozen"/>
      <selection activeCell="J23" sqref="J23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144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146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1101700374602</v>
      </c>
      <c r="Q12" s="103"/>
      <c r="R12" s="104"/>
      <c r="S12" s="49"/>
      <c r="T12" s="47" t="s">
        <v>6</v>
      </c>
      <c r="V12" s="93" t="str">
        <f>$C12</f>
        <v>นาย พิงพันธุ์ ครุฑดำรงชัย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1101700374602</v>
      </c>
      <c r="AJ12" s="97"/>
      <c r="AK12" s="98"/>
      <c r="AL12" s="47" t="s">
        <v>6</v>
      </c>
      <c r="AN12" s="93" t="str">
        <f>$C12</f>
        <v>นาย พิงพันธุ์ ครุฑดำรงชัย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1101700374602</v>
      </c>
      <c r="BB12" s="97"/>
      <c r="BC12" s="98"/>
      <c r="BD12" s="49"/>
      <c r="BE12" s="47" t="s">
        <v>6</v>
      </c>
      <c r="BG12" s="93" t="str">
        <f>$C12</f>
        <v>นาย พิงพันธุ์ ครุฑดำรงชัย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1101700374602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147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59/5 ปริญสิริไพรเวซี่ โยธินพัฒนา3 คลองจั่น บางกะปิ 10240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59/5 ปริญสิริไพรเวซี่ โยธินพัฒนา3 คลองจั่น บางกะปิ 10240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59/5 ปริญสิริไพรเวซี่ โยธินพัฒนา3 คลองจั่น บางกะปิ 10240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145</v>
      </c>
      <c r="N45" s="120"/>
      <c r="O45" s="121">
        <v>4065</v>
      </c>
      <c r="P45" s="122"/>
      <c r="Q45" s="121">
        <f>ROUND(O45*3%,2)</f>
        <v>121.95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24/03/2569</v>
      </c>
      <c r="AG45" s="139"/>
      <c r="AH45" s="125">
        <f t="shared" si="0"/>
        <v>4065</v>
      </c>
      <c r="AI45" s="126"/>
      <c r="AJ45" s="125">
        <f t="shared" si="1"/>
        <v>121.95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24/03/2569</v>
      </c>
      <c r="AY45" s="139"/>
      <c r="AZ45" s="125">
        <f t="shared" si="2"/>
        <v>4065</v>
      </c>
      <c r="BA45" s="126"/>
      <c r="BB45" s="125">
        <f t="shared" si="3"/>
        <v>121.95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24/03/2569</v>
      </c>
      <c r="BR45" s="139"/>
      <c r="BS45" s="125">
        <f t="shared" si="4"/>
        <v>4065</v>
      </c>
      <c r="BT45" s="126"/>
      <c r="BU45" s="125">
        <f t="shared" si="5"/>
        <v>121.95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4065</v>
      </c>
      <c r="P48" s="149"/>
      <c r="Q48" s="148">
        <f>SUM(Q23:R47)</f>
        <v>121.95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4065</v>
      </c>
      <c r="AI48" s="143"/>
      <c r="AJ48" s="142">
        <f>SUM(AJ23:AK47)</f>
        <v>121.95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4065</v>
      </c>
      <c r="BA48" s="143"/>
      <c r="BB48" s="142">
        <f>SUM(BB23:BC47)</f>
        <v>121.95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4065</v>
      </c>
      <c r="BT48" s="143"/>
      <c r="BU48" s="142">
        <f>SUM(BU23:BV47)</f>
        <v>121.95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หนึ่งร้อยยี่สิบเอ็ดบาทเก้าสิบห้าสตางค์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หนึ่งร้อยยี่สิบเอ็ดบาทเก้าสิบห้าสตางค์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หนึ่งร้อยยี่สิบเอ็ดบาทเก้าสิบห้าสตางค์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หนึ่งร้อยยี่สิบเอ็ดบาทเก้าสิบห้าสตางค์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7DB0-0509-1749-B579-7D0105AC9236}">
  <sheetPr>
    <tabColor theme="6"/>
  </sheetPr>
  <dimension ref="A1:BV64"/>
  <sheetViews>
    <sheetView showGridLines="0" showZeros="0" tabSelected="1" zoomScaleNormal="90" workbookViewId="0">
      <pane ySplit="1" topLeftCell="A2" activePane="bottomLeft" state="frozen"/>
      <selection activeCell="J23" sqref="J23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144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105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1103900240261</v>
      </c>
      <c r="Q12" s="103"/>
      <c r="R12" s="104"/>
      <c r="S12" s="49"/>
      <c r="T12" s="47" t="s">
        <v>6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1103900240261</v>
      </c>
      <c r="AJ12" s="97"/>
      <c r="AK12" s="98"/>
      <c r="AL12" s="47" t="s">
        <v>6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1103900240261</v>
      </c>
      <c r="BB12" s="97"/>
      <c r="BC12" s="98"/>
      <c r="BD12" s="49"/>
      <c r="BE12" s="47" t="s">
        <v>6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1103900240261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145</v>
      </c>
      <c r="N45" s="120"/>
      <c r="O45" s="121">
        <v>9000</v>
      </c>
      <c r="P45" s="122"/>
      <c r="Q45" s="121">
        <f>ROUND(O45*3%,2)</f>
        <v>270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24/03/2569</v>
      </c>
      <c r="AG45" s="139"/>
      <c r="AH45" s="125">
        <f t="shared" si="0"/>
        <v>9000</v>
      </c>
      <c r="AI45" s="126"/>
      <c r="AJ45" s="125">
        <f t="shared" si="1"/>
        <v>270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24/03/2569</v>
      </c>
      <c r="AY45" s="139"/>
      <c r="AZ45" s="125">
        <f t="shared" si="2"/>
        <v>9000</v>
      </c>
      <c r="BA45" s="126"/>
      <c r="BB45" s="125">
        <f t="shared" si="3"/>
        <v>270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24/03/2569</v>
      </c>
      <c r="BR45" s="139"/>
      <c r="BS45" s="125">
        <f t="shared" si="4"/>
        <v>9000</v>
      </c>
      <c r="BT45" s="126"/>
      <c r="BU45" s="125">
        <f t="shared" si="5"/>
        <v>270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9000</v>
      </c>
      <c r="P48" s="149"/>
      <c r="Q48" s="148">
        <f>SUM(Q23:R47)</f>
        <v>270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9000</v>
      </c>
      <c r="AI48" s="143"/>
      <c r="AJ48" s="142">
        <f>SUM(AJ23:AK47)</f>
        <v>270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9000</v>
      </c>
      <c r="BA48" s="143"/>
      <c r="BB48" s="142">
        <f>SUM(BB23:BC47)</f>
        <v>270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9000</v>
      </c>
      <c r="BT48" s="143"/>
      <c r="BU48" s="142">
        <f>SUM(BU23:BV47)</f>
        <v>270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สองร้อยเจ็ดสิบบาทถ้วน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สองร้อยเจ็ดสิบบาทถ้วน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สองร้อยเจ็ดสิบบาทถ้วน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สองร้อยเจ็ดสิบบาทถ้วน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2467-D549-B94F-8370-BFA47A160D78}">
  <sheetPr>
    <tabColor theme="6"/>
  </sheetPr>
  <dimension ref="A1:BV65"/>
  <sheetViews>
    <sheetView showGridLines="0" showZeros="0" tabSelected="1" zoomScale="134" zoomScaleNormal="115" workbookViewId="0">
      <pane ySplit="1" topLeftCell="A21" activePane="bottomLeft" state="frozen"/>
      <selection activeCell="J23" sqref="J23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143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6903-002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6903-002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6903-002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1101402058567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1101402058567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1101402058567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1101402058567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142</v>
      </c>
      <c r="N45" s="120"/>
      <c r="O45" s="121">
        <v>5154.6400000000003</v>
      </c>
      <c r="P45" s="122"/>
      <c r="Q45" s="121">
        <f>ROUND(O45*3%,2)</f>
        <v>154.63999999999999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10/03/2569</v>
      </c>
      <c r="AG45" s="139"/>
      <c r="AH45" s="125">
        <f t="shared" si="0"/>
        <v>5154.6400000000003</v>
      </c>
      <c r="AI45" s="126"/>
      <c r="AJ45" s="125">
        <f t="shared" si="1"/>
        <v>154.63999999999999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10/03/2569</v>
      </c>
      <c r="AY45" s="139"/>
      <c r="AZ45" s="125">
        <f t="shared" si="2"/>
        <v>5154.6400000000003</v>
      </c>
      <c r="BA45" s="126"/>
      <c r="BB45" s="125">
        <f t="shared" si="3"/>
        <v>154.63999999999999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10/03/2569</v>
      </c>
      <c r="BR45" s="139"/>
      <c r="BS45" s="125">
        <f t="shared" si="4"/>
        <v>5154.6400000000003</v>
      </c>
      <c r="BT45" s="126"/>
      <c r="BU45" s="125">
        <f t="shared" si="5"/>
        <v>154.63999999999999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5154.6400000000003</v>
      </c>
      <c r="P48" s="149"/>
      <c r="Q48" s="148">
        <f>SUM(Q23:R47)</f>
        <v>154.63999999999999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5154.6400000000003</v>
      </c>
      <c r="AI48" s="143"/>
      <c r="AJ48" s="142">
        <f>SUM(AJ23:AK47)</f>
        <v>154.63999999999999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5154.6400000000003</v>
      </c>
      <c r="BA48" s="143"/>
      <c r="BB48" s="142">
        <f>SUM(BB23:BC47)</f>
        <v>154.63999999999999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5154.6400000000003</v>
      </c>
      <c r="BT48" s="143"/>
      <c r="BU48" s="142">
        <f>SUM(BU23:BV47)</f>
        <v>154.63999999999999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10/03/2569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10/03/2569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10/03/2569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10/03/2569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E2EA-EC94-3F46-8BA1-461B61E36C46}">
  <sheetPr>
    <tabColor theme="6"/>
  </sheetPr>
  <dimension ref="A1:BV65"/>
  <sheetViews>
    <sheetView showGridLines="0" showZeros="0" tabSelected="1" topLeftCell="C1" zoomScale="134" zoomScaleNormal="115" workbookViewId="0">
      <pane ySplit="1" topLeftCell="A2" activePane="bottomLeft" state="frozen"/>
      <selection activeCell="J23" sqref="J23"/>
      <selection pane="bottomLeft" activeCell="J23" sqref="J2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141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6903-001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6903-001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6903-001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122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105559161364</v>
      </c>
      <c r="Q12" s="103"/>
      <c r="R12" s="104"/>
      <c r="S12" s="49"/>
      <c r="T12" s="47" t="s">
        <v>6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105559161364</v>
      </c>
      <c r="AJ12" s="97"/>
      <c r="AK12" s="98"/>
      <c r="AL12" s="47" t="s">
        <v>6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105559161364</v>
      </c>
      <c r="BB12" s="97"/>
      <c r="BC12" s="98"/>
      <c r="BD12" s="49"/>
      <c r="BE12" s="47" t="s">
        <v>6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105559161364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142</v>
      </c>
      <c r="N45" s="120"/>
      <c r="O45" s="121">
        <v>1827.08</v>
      </c>
      <c r="P45" s="122"/>
      <c r="Q45" s="121">
        <f>ROUND(O45*3%,2)</f>
        <v>54.81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10/03/2569</v>
      </c>
      <c r="AG45" s="139"/>
      <c r="AH45" s="125">
        <f t="shared" si="0"/>
        <v>1827.08</v>
      </c>
      <c r="AI45" s="126"/>
      <c r="AJ45" s="125">
        <f t="shared" si="1"/>
        <v>54.81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10/03/2569</v>
      </c>
      <c r="AY45" s="139"/>
      <c r="AZ45" s="125">
        <f t="shared" si="2"/>
        <v>1827.08</v>
      </c>
      <c r="BA45" s="126"/>
      <c r="BB45" s="125">
        <f t="shared" si="3"/>
        <v>54.81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10/03/2569</v>
      </c>
      <c r="BR45" s="139"/>
      <c r="BS45" s="125">
        <f t="shared" si="4"/>
        <v>1827.08</v>
      </c>
      <c r="BT45" s="126"/>
      <c r="BU45" s="125">
        <f t="shared" si="5"/>
        <v>54.81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129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1827.08</v>
      </c>
      <c r="P48" s="149"/>
      <c r="Q48" s="148">
        <f>SUM(Q23:R47)</f>
        <v>54.81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1827.08</v>
      </c>
      <c r="AI48" s="143"/>
      <c r="AJ48" s="142">
        <f>SUM(AJ23:AK47)</f>
        <v>54.81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1827.08</v>
      </c>
      <c r="BA48" s="143"/>
      <c r="BB48" s="142">
        <f>SUM(BB23:BC47)</f>
        <v>54.81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1827.08</v>
      </c>
      <c r="BT48" s="143"/>
      <c r="BU48" s="142">
        <f>SUM(BU23:BV47)</f>
        <v>54.81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ห้าสิบสี่บาทแปดสิบเอ็ดสตางค์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ห้าสิบสี่บาทแปดสิบเอ็ดสตางค์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ห้าสิบสี่บาทแปดสิบเอ็ดสตางค์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ห้าสิบสี่บาทแปดสิบเอ็ดสตางค์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10/03/2569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10/03/2569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10/03/2569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10/03/2569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BA17-EFCD-504D-B283-E59043112D19}">
  <sheetPr>
    <tabColor theme="6"/>
  </sheetPr>
  <dimension ref="A1:BV64"/>
  <sheetViews>
    <sheetView showGridLines="0" showZeros="0" zoomScaleNormal="90" workbookViewId="0">
      <pane ySplit="1" topLeftCell="A2" activePane="bottomLeft" state="frozen"/>
      <selection activeCell="K14" sqref="K14"/>
      <selection pane="bottomLeft" activeCell="X31" sqref="X31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140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6902-006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6902-006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6902-006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105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1103900240261</v>
      </c>
      <c r="Q12" s="103"/>
      <c r="R12" s="104"/>
      <c r="S12" s="49"/>
      <c r="T12" s="47" t="s">
        <v>6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1103900240261</v>
      </c>
      <c r="AJ12" s="97"/>
      <c r="AK12" s="98"/>
      <c r="AL12" s="47" t="s">
        <v>6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1103900240261</v>
      </c>
      <c r="BB12" s="97"/>
      <c r="BC12" s="98"/>
      <c r="BD12" s="49"/>
      <c r="BE12" s="47" t="s">
        <v>6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1103900240261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138</v>
      </c>
      <c r="N45" s="120"/>
      <c r="O45" s="121">
        <v>9000</v>
      </c>
      <c r="P45" s="122"/>
      <c r="Q45" s="121">
        <f>ROUND(O45*3%,2)</f>
        <v>270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24/02/2569</v>
      </c>
      <c r="AG45" s="139"/>
      <c r="AH45" s="125">
        <f t="shared" si="0"/>
        <v>9000</v>
      </c>
      <c r="AI45" s="126"/>
      <c r="AJ45" s="125">
        <f t="shared" si="1"/>
        <v>270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24/02/2569</v>
      </c>
      <c r="AY45" s="139"/>
      <c r="AZ45" s="125">
        <f t="shared" si="2"/>
        <v>9000</v>
      </c>
      <c r="BA45" s="126"/>
      <c r="BB45" s="125">
        <f t="shared" si="3"/>
        <v>270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24/02/2569</v>
      </c>
      <c r="BR45" s="139"/>
      <c r="BS45" s="125">
        <f t="shared" si="4"/>
        <v>9000</v>
      </c>
      <c r="BT45" s="126"/>
      <c r="BU45" s="125">
        <f t="shared" si="5"/>
        <v>270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9000</v>
      </c>
      <c r="P48" s="149"/>
      <c r="Q48" s="148">
        <f>SUM(Q23:R47)</f>
        <v>270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9000</v>
      </c>
      <c r="AI48" s="143"/>
      <c r="AJ48" s="142">
        <f>SUM(AJ23:AK47)</f>
        <v>270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9000</v>
      </c>
      <c r="BA48" s="143"/>
      <c r="BB48" s="142">
        <f>SUM(BB23:BC47)</f>
        <v>270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9000</v>
      </c>
      <c r="BT48" s="143"/>
      <c r="BU48" s="142">
        <f>SUM(BU23:BV47)</f>
        <v>270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สองร้อยเจ็ดสิบบาทถ้วน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สองร้อยเจ็ดสิบบาทถ้วน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สองร้อยเจ็ดสิบบาทถ้วน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สองร้อยเจ็ดสิบบาทถ้วน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4C08-1FCC-2C49-B756-BA92D8A09138}">
  <sheetPr>
    <tabColor theme="6"/>
  </sheetPr>
  <dimension ref="A1:BV64"/>
  <sheetViews>
    <sheetView showGridLines="0" showZeros="0" zoomScale="112" zoomScaleNormal="90" workbookViewId="0">
      <pane ySplit="1" topLeftCell="A2" activePane="bottomLeft" state="frozen"/>
      <selection activeCell="K11" sqref="K11"/>
      <selection pane="bottomLeft" activeCell="M27" sqref="M24:N27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139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6902-005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6902-005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6902-005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1100600484481</v>
      </c>
      <c r="Q12" s="103"/>
      <c r="R12" s="104"/>
      <c r="S12" s="49"/>
      <c r="T12" s="47" t="s">
        <v>6</v>
      </c>
      <c r="V12" s="93" t="str">
        <f>$C12</f>
        <v>นางสาว ชุติกาญจน์ ครรชนะอรรถ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1100600484481</v>
      </c>
      <c r="AJ12" s="97"/>
      <c r="AK12" s="98"/>
      <c r="AL12" s="47" t="s">
        <v>6</v>
      </c>
      <c r="AN12" s="93" t="str">
        <f>$C12</f>
        <v>นางสาว ชุติกาญจน์ ครรชนะอรรถ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1100600484481</v>
      </c>
      <c r="BB12" s="97"/>
      <c r="BC12" s="98"/>
      <c r="BD12" s="49"/>
      <c r="BE12" s="47" t="s">
        <v>6</v>
      </c>
      <c r="BG12" s="93" t="str">
        <f>$C12</f>
        <v>นางสาว ชุติกาญจน์ ครรชนะอรรถ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1100600484481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489 ถ. นาคนิวาส แขวงลาดพร้าว เขตลาดพร้าว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489 ถ. นาคนิวาส แขวงลาดพร้าว เขตลาดพร้าว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489 ถ. นาคนิวาส แขวงลาดพร้าว เขตลาดพร้าว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138</v>
      </c>
      <c r="N45" s="120"/>
      <c r="O45" s="121">
        <v>8000</v>
      </c>
      <c r="P45" s="122"/>
      <c r="Q45" s="121">
        <f>ROUND(O45*3%,2)</f>
        <v>240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24/02/2569</v>
      </c>
      <c r="AG45" s="139"/>
      <c r="AH45" s="125">
        <f t="shared" si="0"/>
        <v>8000</v>
      </c>
      <c r="AI45" s="126"/>
      <c r="AJ45" s="125">
        <f t="shared" si="1"/>
        <v>240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24/02/2569</v>
      </c>
      <c r="AY45" s="139"/>
      <c r="AZ45" s="125">
        <f t="shared" si="2"/>
        <v>8000</v>
      </c>
      <c r="BA45" s="126"/>
      <c r="BB45" s="125">
        <f t="shared" si="3"/>
        <v>240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24/02/2569</v>
      </c>
      <c r="BR45" s="139"/>
      <c r="BS45" s="125">
        <f t="shared" si="4"/>
        <v>8000</v>
      </c>
      <c r="BT45" s="126"/>
      <c r="BU45" s="125">
        <f t="shared" si="5"/>
        <v>240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8000</v>
      </c>
      <c r="P48" s="149"/>
      <c r="Q48" s="148">
        <f>SUM(Q23:R47)</f>
        <v>240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8000</v>
      </c>
      <c r="AI48" s="143"/>
      <c r="AJ48" s="142">
        <f>SUM(AJ23:AK47)</f>
        <v>240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8000</v>
      </c>
      <c r="BA48" s="143"/>
      <c r="BB48" s="142">
        <f>SUM(BB23:BC47)</f>
        <v>240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8000</v>
      </c>
      <c r="BT48" s="143"/>
      <c r="BU48" s="142">
        <f>SUM(BU23:BV47)</f>
        <v>240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69AD-7B74-DC4D-B44C-0932B910C898}">
  <sheetPr>
    <tabColor theme="6"/>
  </sheetPr>
  <dimension ref="A1:BV65"/>
  <sheetViews>
    <sheetView showGridLines="0" showZeros="0" zoomScale="134" zoomScaleNormal="115" workbookViewId="0">
      <pane ySplit="1" topLeftCell="A11" activePane="bottomLeft" state="frozen"/>
      <selection activeCell="G60" sqref="G60"/>
      <selection pane="bottomLeft" activeCell="N17" sqref="N17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134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6902-004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6902-004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6902-004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135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105554057691</v>
      </c>
      <c r="Q12" s="103"/>
      <c r="R12" s="104"/>
      <c r="S12" s="49"/>
      <c r="T12" s="47" t="s">
        <v>6</v>
      </c>
      <c r="V12" s="93" t="str">
        <f>$C12</f>
        <v>บริษัท เอบีที ออดิทติ้ง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105554057691</v>
      </c>
      <c r="AJ12" s="97"/>
      <c r="AK12" s="98"/>
      <c r="AL12" s="47" t="s">
        <v>6</v>
      </c>
      <c r="AN12" s="93" t="str">
        <f>$C12</f>
        <v>บริษัท เอบีที ออดิทติ้ง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105554057691</v>
      </c>
      <c r="BB12" s="97"/>
      <c r="BC12" s="98"/>
      <c r="BD12" s="49"/>
      <c r="BE12" s="47" t="s">
        <v>6</v>
      </c>
      <c r="BG12" s="93" t="str">
        <f>$C12</f>
        <v>บริษัท เอบีที ออดิทติ้ง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105554057691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136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99/372 ซอยราษฎร์พัฒนา 22 แขวงสะพานสูง เขตสะพานสูง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99/372 ซอยราษฎร์พัฒนา 22 แขวงสะพานสูง เขตสะพานสูง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99/372 ซอยราษฎร์พัฒนา 22 แขวงสะพานสูง เขตสะพานสูง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137</v>
      </c>
      <c r="N45" s="120"/>
      <c r="O45" s="121">
        <v>3000</v>
      </c>
      <c r="P45" s="122"/>
      <c r="Q45" s="121">
        <f>ROUND(O45*3%,2)</f>
        <v>90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13/02/2569</v>
      </c>
      <c r="AG45" s="139"/>
      <c r="AH45" s="125">
        <f t="shared" si="0"/>
        <v>3000</v>
      </c>
      <c r="AI45" s="126"/>
      <c r="AJ45" s="125">
        <f t="shared" si="1"/>
        <v>90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13/02/2569</v>
      </c>
      <c r="AY45" s="139"/>
      <c r="AZ45" s="125">
        <f t="shared" si="2"/>
        <v>3000</v>
      </c>
      <c r="BA45" s="126"/>
      <c r="BB45" s="125">
        <f t="shared" si="3"/>
        <v>90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13/02/2569</v>
      </c>
      <c r="BR45" s="139"/>
      <c r="BS45" s="125">
        <f t="shared" si="4"/>
        <v>3000</v>
      </c>
      <c r="BT45" s="126"/>
      <c r="BU45" s="125">
        <f t="shared" si="5"/>
        <v>90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129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3000</v>
      </c>
      <c r="P48" s="149"/>
      <c r="Q48" s="148">
        <f>SUM(Q23:R47)</f>
        <v>90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3000</v>
      </c>
      <c r="AI48" s="143"/>
      <c r="AJ48" s="142">
        <f>SUM(AJ23:AK47)</f>
        <v>90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3000</v>
      </c>
      <c r="BA48" s="143"/>
      <c r="BB48" s="142">
        <f>SUM(BB23:BC47)</f>
        <v>90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3000</v>
      </c>
      <c r="BT48" s="143"/>
      <c r="BU48" s="142">
        <f>SUM(BU23:BV47)</f>
        <v>90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เก้าสิบบาทถ้วน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เก้าสิบบาทถ้วน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เก้าสิบบาทถ้วน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เก้าสิบบาทถ้วน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13/02/2569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13/02/2569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13/02/2569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13/02/2569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8A20-468B-6644-8046-D78E6FA52866}">
  <sheetPr>
    <tabColor theme="6"/>
  </sheetPr>
  <dimension ref="A1:BV65"/>
  <sheetViews>
    <sheetView showGridLines="0" showZeros="0" zoomScale="134" zoomScaleNormal="115" workbookViewId="0">
      <pane ySplit="1" topLeftCell="A13" activePane="bottomLeft" state="frozen"/>
      <selection activeCell="G60" sqref="G60"/>
      <selection pane="bottomLeft" activeCell="I31" sqref="I31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132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1709901461237</v>
      </c>
      <c r="Q12" s="103"/>
      <c r="R12" s="104"/>
      <c r="S12" s="49"/>
      <c r="T12" s="47" t="s">
        <v>6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1709901461237</v>
      </c>
      <c r="AJ12" s="97"/>
      <c r="AK12" s="98"/>
      <c r="AL12" s="47" t="s">
        <v>6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1709901461237</v>
      </c>
      <c r="BB12" s="97"/>
      <c r="BC12" s="98"/>
      <c r="BD12" s="49"/>
      <c r="BE12" s="47" t="s">
        <v>6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1709901461237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116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133</v>
      </c>
      <c r="N45" s="120"/>
      <c r="O45" s="121">
        <v>2780</v>
      </c>
      <c r="P45" s="122"/>
      <c r="Q45" s="121">
        <f>ROUND(O45*3%,2)</f>
        <v>83.4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10/02/2569</v>
      </c>
      <c r="AG45" s="139"/>
      <c r="AH45" s="125">
        <f t="shared" si="0"/>
        <v>2780</v>
      </c>
      <c r="AI45" s="126"/>
      <c r="AJ45" s="125">
        <f t="shared" si="1"/>
        <v>83.4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10/02/2569</v>
      </c>
      <c r="AY45" s="139"/>
      <c r="AZ45" s="125">
        <f t="shared" si="2"/>
        <v>2780</v>
      </c>
      <c r="BA45" s="126"/>
      <c r="BB45" s="125">
        <f t="shared" si="3"/>
        <v>83.4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10/02/2569</v>
      </c>
      <c r="BR45" s="139"/>
      <c r="BS45" s="125">
        <f t="shared" si="4"/>
        <v>2780</v>
      </c>
      <c r="BT45" s="126"/>
      <c r="BU45" s="125">
        <f t="shared" si="5"/>
        <v>83.4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2780</v>
      </c>
      <c r="P48" s="149"/>
      <c r="Q48" s="148">
        <f>SUM(Q23:R47)</f>
        <v>83.4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2780</v>
      </c>
      <c r="AI48" s="143"/>
      <c r="AJ48" s="142">
        <f>SUM(AJ23:AK47)</f>
        <v>83.4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2780</v>
      </c>
      <c r="BA48" s="143"/>
      <c r="BB48" s="142">
        <f>SUM(BB23:BC47)</f>
        <v>83.4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2780</v>
      </c>
      <c r="BT48" s="143"/>
      <c r="BU48" s="142">
        <f>SUM(BU23:BV47)</f>
        <v>83.4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แปดสิบสามบาทสี่สิบสตางค์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แปดสิบสามบาทสี่สิบสตางค์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แปดสิบสามบาทสี่สิบสตางค์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แปดสิบสามบาทสี่สิบสตางค์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10/02/2569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10/02/2569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10/02/2569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10/02/2569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E7B2-6135-A643-9322-45E10284B29F}">
  <sheetPr>
    <tabColor theme="6"/>
  </sheetPr>
  <dimension ref="A1:BV65"/>
  <sheetViews>
    <sheetView showGridLines="0" showZeros="0" zoomScale="134" zoomScaleNormal="115" workbookViewId="0">
      <pane ySplit="1" topLeftCell="A12" activePane="bottomLeft" state="frozen"/>
      <selection activeCell="L26" sqref="L26"/>
      <selection pane="bottomLeft" activeCell="L26" sqref="L26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130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6902-002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6902-002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6902-002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1101402058567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1101402058567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1101402058567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1101402058567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131</v>
      </c>
      <c r="N45" s="120"/>
      <c r="O45" s="121">
        <v>5154.6400000000003</v>
      </c>
      <c r="P45" s="122"/>
      <c r="Q45" s="121">
        <f>ROUND(O45*3%,2)</f>
        <v>154.63999999999999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09/02/2569</v>
      </c>
      <c r="AG45" s="139"/>
      <c r="AH45" s="125">
        <f t="shared" si="0"/>
        <v>5154.6400000000003</v>
      </c>
      <c r="AI45" s="126"/>
      <c r="AJ45" s="125">
        <f t="shared" si="1"/>
        <v>154.63999999999999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09/02/2569</v>
      </c>
      <c r="AY45" s="139"/>
      <c r="AZ45" s="125">
        <f t="shared" si="2"/>
        <v>5154.6400000000003</v>
      </c>
      <c r="BA45" s="126"/>
      <c r="BB45" s="125">
        <f t="shared" si="3"/>
        <v>154.63999999999999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09/02/2569</v>
      </c>
      <c r="BR45" s="139"/>
      <c r="BS45" s="125">
        <f t="shared" si="4"/>
        <v>5154.6400000000003</v>
      </c>
      <c r="BT45" s="126"/>
      <c r="BU45" s="125">
        <f t="shared" si="5"/>
        <v>154.63999999999999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5154.6400000000003</v>
      </c>
      <c r="P48" s="149"/>
      <c r="Q48" s="148">
        <f>SUM(Q23:R47)</f>
        <v>154.63999999999999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5154.6400000000003</v>
      </c>
      <c r="AI48" s="143"/>
      <c r="AJ48" s="142">
        <f>SUM(AJ23:AK47)</f>
        <v>154.63999999999999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5154.6400000000003</v>
      </c>
      <c r="BA48" s="143"/>
      <c r="BB48" s="142">
        <f>SUM(BB23:BC47)</f>
        <v>154.63999999999999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5154.6400000000003</v>
      </c>
      <c r="BT48" s="143"/>
      <c r="BU48" s="142">
        <f>SUM(BU23:BV47)</f>
        <v>154.63999999999999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09/02/2569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09/02/2569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09/02/2569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09/02/2569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318A-4EC3-404C-9FC1-6936FF478F2D}">
  <sheetPr>
    <tabColor theme="6"/>
  </sheetPr>
  <dimension ref="A1:BV65"/>
  <sheetViews>
    <sheetView showGridLines="0" showZeros="0" zoomScale="134" zoomScaleNormal="115" workbookViewId="0">
      <pane ySplit="1" topLeftCell="A2" activePane="bottomLeft" state="frozen"/>
      <selection activeCell="L26" sqref="L26"/>
      <selection pane="bottomLeft" activeCell="L26" sqref="L26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127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6902-001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6902-001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6902-001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122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105559161364</v>
      </c>
      <c r="Q12" s="103"/>
      <c r="R12" s="104"/>
      <c r="S12" s="49"/>
      <c r="T12" s="47" t="s">
        <v>6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105559161364</v>
      </c>
      <c r="AJ12" s="97"/>
      <c r="AK12" s="98"/>
      <c r="AL12" s="47" t="s">
        <v>6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105559161364</v>
      </c>
      <c r="BB12" s="97"/>
      <c r="BC12" s="98"/>
      <c r="BD12" s="49"/>
      <c r="BE12" s="47" t="s">
        <v>6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105559161364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128</v>
      </c>
      <c r="N45" s="120"/>
      <c r="O45" s="121">
        <v>1399.82</v>
      </c>
      <c r="P45" s="122"/>
      <c r="Q45" s="121">
        <f>ROUND(O45*3%,2)</f>
        <v>41.99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05/02/2569</v>
      </c>
      <c r="AG45" s="139"/>
      <c r="AH45" s="125">
        <f t="shared" si="0"/>
        <v>1399.82</v>
      </c>
      <c r="AI45" s="126"/>
      <c r="AJ45" s="125">
        <f t="shared" si="1"/>
        <v>41.99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05/02/2569</v>
      </c>
      <c r="AY45" s="139"/>
      <c r="AZ45" s="125">
        <f t="shared" si="2"/>
        <v>1399.82</v>
      </c>
      <c r="BA45" s="126"/>
      <c r="BB45" s="125">
        <f t="shared" si="3"/>
        <v>41.99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05/02/2569</v>
      </c>
      <c r="BR45" s="139"/>
      <c r="BS45" s="125">
        <f t="shared" si="4"/>
        <v>1399.82</v>
      </c>
      <c r="BT45" s="126"/>
      <c r="BU45" s="125">
        <f t="shared" si="5"/>
        <v>41.99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129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1399.82</v>
      </c>
      <c r="P48" s="149"/>
      <c r="Q48" s="148">
        <f>SUM(Q23:R47)</f>
        <v>41.99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1399.82</v>
      </c>
      <c r="AI48" s="143"/>
      <c r="AJ48" s="142">
        <f>SUM(AJ23:AK47)</f>
        <v>41.99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1399.82</v>
      </c>
      <c r="BA48" s="143"/>
      <c r="BB48" s="142">
        <f>SUM(BB23:BC47)</f>
        <v>41.99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1399.82</v>
      </c>
      <c r="BT48" s="143"/>
      <c r="BU48" s="142">
        <f>SUM(BU23:BV47)</f>
        <v>41.99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สี่สิบเอ็ดบาทเก้าสิบเก้าสตางค์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สี่สิบเอ็ดบาทเก้าสิบเก้าสตางค์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สี่สิบเอ็ดบาทเก้าสิบเก้าสตางค์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สี่สิบเอ็ดบาทเก้าสิบเก้าสตางค์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05/02/2569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05/02/2569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05/02/2569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05/02/2569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F0B5-CDB0-D140-A44C-E72902509E9A}">
  <sheetPr>
    <tabColor theme="6"/>
  </sheetPr>
  <dimension ref="A1:BV64"/>
  <sheetViews>
    <sheetView showGridLines="0" showZeros="0" zoomScaleNormal="90" workbookViewId="0">
      <pane ySplit="1" topLeftCell="A2" activePane="bottomLeft" state="frozen"/>
      <selection activeCell="K14" sqref="K14"/>
      <selection pane="bottomLeft" activeCell="K14" sqref="K1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125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6901-006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6901-006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6901-006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105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1103900240261</v>
      </c>
      <c r="Q12" s="103"/>
      <c r="R12" s="104"/>
      <c r="S12" s="49"/>
      <c r="T12" s="47" t="s">
        <v>6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1103900240261</v>
      </c>
      <c r="AJ12" s="97"/>
      <c r="AK12" s="98"/>
      <c r="AL12" s="47" t="s">
        <v>6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1103900240261</v>
      </c>
      <c r="BB12" s="97"/>
      <c r="BC12" s="98"/>
      <c r="BD12" s="49"/>
      <c r="BE12" s="47" t="s">
        <v>6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1103900240261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124</v>
      </c>
      <c r="N45" s="120"/>
      <c r="O45" s="121">
        <v>8000</v>
      </c>
      <c r="P45" s="122"/>
      <c r="Q45" s="121">
        <f>ROUND(O45*3%,2)</f>
        <v>240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24/01/2569</v>
      </c>
      <c r="AG45" s="139"/>
      <c r="AH45" s="125">
        <f t="shared" si="0"/>
        <v>8000</v>
      </c>
      <c r="AI45" s="126"/>
      <c r="AJ45" s="125">
        <f t="shared" si="1"/>
        <v>240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24/01/2569</v>
      </c>
      <c r="AY45" s="139"/>
      <c r="AZ45" s="125">
        <f t="shared" si="2"/>
        <v>8000</v>
      </c>
      <c r="BA45" s="126"/>
      <c r="BB45" s="125">
        <f t="shared" si="3"/>
        <v>240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24/01/2569</v>
      </c>
      <c r="BR45" s="139"/>
      <c r="BS45" s="125">
        <f t="shared" si="4"/>
        <v>8000</v>
      </c>
      <c r="BT45" s="126"/>
      <c r="BU45" s="125">
        <f t="shared" si="5"/>
        <v>240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8000</v>
      </c>
      <c r="P48" s="149"/>
      <c r="Q48" s="148">
        <f>SUM(Q23:R47)</f>
        <v>240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8000</v>
      </c>
      <c r="AI48" s="143"/>
      <c r="AJ48" s="142">
        <f>SUM(AJ23:AK47)</f>
        <v>240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8000</v>
      </c>
      <c r="BA48" s="143"/>
      <c r="BB48" s="142">
        <f>SUM(BB23:BC47)</f>
        <v>240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8000</v>
      </c>
      <c r="BT48" s="143"/>
      <c r="BU48" s="142">
        <f>SUM(BU23:BV47)</f>
        <v>240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83C4-19E5-BF49-B955-7DADAEF78369}">
  <sheetPr>
    <tabColor theme="6"/>
  </sheetPr>
  <dimension ref="A1:BV64"/>
  <sheetViews>
    <sheetView showGridLines="0" showZeros="0" zoomScale="112" zoomScaleNormal="90" workbookViewId="0">
      <pane ySplit="1" topLeftCell="A22" activePane="bottomLeft" state="frozen"/>
      <selection activeCell="K11" sqref="K11"/>
      <selection pane="bottomLeft" activeCell="K14" sqref="K1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126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6901-005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6901-005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6901-005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1100600484481</v>
      </c>
      <c r="Q12" s="103"/>
      <c r="R12" s="104"/>
      <c r="S12" s="49"/>
      <c r="T12" s="47" t="s">
        <v>6</v>
      </c>
      <c r="V12" s="93" t="str">
        <f>$C12</f>
        <v>นางสาว ชุติกาญจน์ ครรชนะอรรถ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1100600484481</v>
      </c>
      <c r="AJ12" s="97"/>
      <c r="AK12" s="98"/>
      <c r="AL12" s="47" t="s">
        <v>6</v>
      </c>
      <c r="AN12" s="93" t="str">
        <f>$C12</f>
        <v>นางสาว ชุติกาญจน์ ครรชนะอรรถ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1100600484481</v>
      </c>
      <c r="BB12" s="97"/>
      <c r="BC12" s="98"/>
      <c r="BD12" s="49"/>
      <c r="BE12" s="47" t="s">
        <v>6</v>
      </c>
      <c r="BG12" s="93" t="str">
        <f>$C12</f>
        <v>นางสาว ชุติกาญจน์ ครรชนะอรรถ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1100600484481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489 ถ. นาคนิวาส แขวงลาดพร้าว เขตลาดพร้าว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489 ถ. นาคนิวาส แขวงลาดพร้าว เขตลาดพร้าว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489 ถ. นาคนิวาส แขวงลาดพร้าว เขตลาดพร้าว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124</v>
      </c>
      <c r="N45" s="120"/>
      <c r="O45" s="121">
        <v>8000</v>
      </c>
      <c r="P45" s="122"/>
      <c r="Q45" s="121">
        <f>ROUND(O45*3%,2)</f>
        <v>240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24/01/2569</v>
      </c>
      <c r="AG45" s="139"/>
      <c r="AH45" s="125">
        <f t="shared" si="0"/>
        <v>8000</v>
      </c>
      <c r="AI45" s="126"/>
      <c r="AJ45" s="125">
        <f t="shared" si="1"/>
        <v>240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24/01/2569</v>
      </c>
      <c r="AY45" s="139"/>
      <c r="AZ45" s="125">
        <f t="shared" si="2"/>
        <v>8000</v>
      </c>
      <c r="BA45" s="126"/>
      <c r="BB45" s="125">
        <f t="shared" si="3"/>
        <v>240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24/01/2569</v>
      </c>
      <c r="BR45" s="139"/>
      <c r="BS45" s="125">
        <f t="shared" si="4"/>
        <v>8000</v>
      </c>
      <c r="BT45" s="126"/>
      <c r="BU45" s="125">
        <f t="shared" si="5"/>
        <v>240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8000</v>
      </c>
      <c r="P48" s="149"/>
      <c r="Q48" s="148">
        <f>SUM(Q23:R47)</f>
        <v>240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8000</v>
      </c>
      <c r="AI48" s="143"/>
      <c r="AJ48" s="142">
        <f>SUM(AJ23:AK47)</f>
        <v>240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8000</v>
      </c>
      <c r="BA48" s="143"/>
      <c r="BB48" s="142">
        <f>SUM(BB23:BC47)</f>
        <v>240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8000</v>
      </c>
      <c r="BT48" s="143"/>
      <c r="BU48" s="142">
        <f>SUM(BU23:BV47)</f>
        <v>240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A84A-9F38-A74F-A6C3-CD84DEB363A3}">
  <sheetPr>
    <tabColor theme="6"/>
  </sheetPr>
  <dimension ref="A1:BV65"/>
  <sheetViews>
    <sheetView showGridLines="0" showZeros="0" zoomScale="134" zoomScaleNormal="115" workbookViewId="0">
      <pane ySplit="1" topLeftCell="A18" activePane="bottomLeft" state="frozen"/>
      <selection activeCell="G60" sqref="G60"/>
      <selection pane="bottomLeft" activeCell="I16" sqref="I16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121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6901-004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6901-004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6901-004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1709901461237</v>
      </c>
      <c r="Q12" s="103"/>
      <c r="R12" s="104"/>
      <c r="S12" s="49"/>
      <c r="T12" s="47" t="s">
        <v>6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1709901461237</v>
      </c>
      <c r="AJ12" s="97"/>
      <c r="AK12" s="98"/>
      <c r="AL12" s="47" t="s">
        <v>6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1709901461237</v>
      </c>
      <c r="BB12" s="97"/>
      <c r="BC12" s="98"/>
      <c r="BD12" s="49"/>
      <c r="BE12" s="47" t="s">
        <v>6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1709901461237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116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119</v>
      </c>
      <c r="N45" s="120"/>
      <c r="O45" s="121">
        <v>1740</v>
      </c>
      <c r="P45" s="122"/>
      <c r="Q45" s="121">
        <f>ROUND(O45*3%,2)</f>
        <v>52.2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12/01/2569</v>
      </c>
      <c r="AG45" s="139"/>
      <c r="AH45" s="125">
        <f t="shared" si="0"/>
        <v>1740</v>
      </c>
      <c r="AI45" s="126"/>
      <c r="AJ45" s="125">
        <f t="shared" si="1"/>
        <v>52.2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12/01/2569</v>
      </c>
      <c r="AY45" s="139"/>
      <c r="AZ45" s="125">
        <f t="shared" si="2"/>
        <v>1740</v>
      </c>
      <c r="BA45" s="126"/>
      <c r="BB45" s="125">
        <f t="shared" si="3"/>
        <v>52.2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12/01/2569</v>
      </c>
      <c r="BR45" s="139"/>
      <c r="BS45" s="125">
        <f t="shared" si="4"/>
        <v>1740</v>
      </c>
      <c r="BT45" s="126"/>
      <c r="BU45" s="125">
        <f t="shared" si="5"/>
        <v>52.2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1740</v>
      </c>
      <c r="P48" s="149"/>
      <c r="Q48" s="148">
        <f>SUM(Q23:R47)</f>
        <v>52.2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1740</v>
      </c>
      <c r="AI48" s="143"/>
      <c r="AJ48" s="142">
        <f>SUM(AJ23:AK47)</f>
        <v>52.2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1740</v>
      </c>
      <c r="BA48" s="143"/>
      <c r="BB48" s="142">
        <f>SUM(BB23:BC47)</f>
        <v>52.2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1740</v>
      </c>
      <c r="BT48" s="143"/>
      <c r="BU48" s="142">
        <f>SUM(BU23:BV47)</f>
        <v>52.2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ห้าสิบสองบาทยี่สิบสตางค์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ห้าสิบสองบาทยี่สิบสตางค์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ห้าสิบสองบาทยี่สิบสตางค์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ห้าสิบสองบาทยี่สิบสตางค์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12/01/2569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12/01/2569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12/01/2569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12/01/2569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2A4A-112A-8942-B3B0-BC1E516341B5}">
  <sheetPr>
    <tabColor theme="6"/>
  </sheetPr>
  <dimension ref="A1:BV65"/>
  <sheetViews>
    <sheetView showGridLines="0" showZeros="0" zoomScale="134" zoomScaleNormal="115" workbookViewId="0">
      <pane ySplit="1" topLeftCell="A32" activePane="bottomLeft" state="frozen"/>
      <selection activeCell="G60" sqref="G60"/>
      <selection pane="bottomLeft" activeCell="I34" sqref="I3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120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1101402058567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1101402058567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1101402058567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1101402058567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118</v>
      </c>
      <c r="N45" s="120"/>
      <c r="O45" s="121">
        <v>5154.6400000000003</v>
      </c>
      <c r="P45" s="122"/>
      <c r="Q45" s="121">
        <f>ROUND(O45*3%,2)</f>
        <v>154.63999999999999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06/01/2569</v>
      </c>
      <c r="AG45" s="139"/>
      <c r="AH45" s="125">
        <f t="shared" si="0"/>
        <v>5154.6400000000003</v>
      </c>
      <c r="AI45" s="126"/>
      <c r="AJ45" s="125">
        <f t="shared" si="1"/>
        <v>154.63999999999999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06/01/2569</v>
      </c>
      <c r="AY45" s="139"/>
      <c r="AZ45" s="125">
        <f t="shared" si="2"/>
        <v>5154.6400000000003</v>
      </c>
      <c r="BA45" s="126"/>
      <c r="BB45" s="125">
        <f t="shared" si="3"/>
        <v>154.63999999999999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06/01/2569</v>
      </c>
      <c r="BR45" s="139"/>
      <c r="BS45" s="125">
        <f t="shared" si="4"/>
        <v>5154.6400000000003</v>
      </c>
      <c r="BT45" s="126"/>
      <c r="BU45" s="125">
        <f t="shared" si="5"/>
        <v>154.63999999999999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5154.6400000000003</v>
      </c>
      <c r="P48" s="149"/>
      <c r="Q48" s="148">
        <f>SUM(Q23:R47)</f>
        <v>154.63999999999999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5154.6400000000003</v>
      </c>
      <c r="AI48" s="143"/>
      <c r="AJ48" s="142">
        <f>SUM(AJ23:AK47)</f>
        <v>154.63999999999999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5154.6400000000003</v>
      </c>
      <c r="BA48" s="143"/>
      <c r="BB48" s="142">
        <f>SUM(BB23:BC47)</f>
        <v>154.63999999999999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5154.6400000000003</v>
      </c>
      <c r="BT48" s="143"/>
      <c r="BU48" s="142">
        <f>SUM(BU23:BV47)</f>
        <v>154.63999999999999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06/01/2569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06/01/2569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06/01/2569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06/01/2569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DC94-AC45-5949-9061-AB8F31CCF3A5}">
  <sheetPr>
    <tabColor theme="6"/>
  </sheetPr>
  <dimension ref="A1:BV65"/>
  <sheetViews>
    <sheetView showGridLines="0" showZeros="0" zoomScale="134" zoomScaleNormal="115" workbookViewId="0">
      <pane ySplit="1" topLeftCell="A2" activePane="bottomLeft" state="frozen"/>
      <selection activeCell="G60" sqref="G60"/>
      <selection pane="bottomLeft" activeCell="L36" sqref="L36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114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6901-002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6901-002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6901-002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122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105559161364</v>
      </c>
      <c r="Q12" s="103"/>
      <c r="R12" s="104"/>
      <c r="S12" s="49"/>
      <c r="T12" s="47" t="s">
        <v>6</v>
      </c>
      <c r="V12" s="93" t="str">
        <f>$C12</f>
        <v>บริษัท คอล โฟร์ แคร์ (ประเทศไทย) จำกัด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105559161364</v>
      </c>
      <c r="AJ12" s="97"/>
      <c r="AK12" s="98"/>
      <c r="AL12" s="47" t="s">
        <v>6</v>
      </c>
      <c r="AN12" s="93" t="str">
        <f>$C12</f>
        <v>บริษัท คอล โฟร์ แคร์ (ประเทศไทย) จำกัด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105559161364</v>
      </c>
      <c r="BB12" s="97"/>
      <c r="BC12" s="98"/>
      <c r="BD12" s="49"/>
      <c r="BE12" s="47" t="s">
        <v>6</v>
      </c>
      <c r="BG12" s="93" t="str">
        <f>$C12</f>
        <v>บริษัท คอล โฟร์ แคร์ (ประเทศไทย) จำกัด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105559161364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123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163/84 ถนนสรรพาวุธ แขวงบางนาใต้ เขตบางนา กรุงเทพมหานคร 10260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163/84 ถนนสรรพาวุธ แขวงบางนาใต้ เขตบางนา กรุงเทพมหานคร 10260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163/84 ถนนสรรพาวุธ แขวงบางนาใต้ เขตบางนา กรุงเทพมหานคร 10260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118</v>
      </c>
      <c r="N45" s="120"/>
      <c r="O45" s="121">
        <v>1327.43</v>
      </c>
      <c r="P45" s="122"/>
      <c r="Q45" s="121">
        <f>ROUND(O45*3%,2)</f>
        <v>39.82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06/01/2569</v>
      </c>
      <c r="AG45" s="139"/>
      <c r="AH45" s="125">
        <f t="shared" si="0"/>
        <v>1327.43</v>
      </c>
      <c r="AI45" s="126"/>
      <c r="AJ45" s="125">
        <f t="shared" si="1"/>
        <v>39.82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06/01/2569</v>
      </c>
      <c r="AY45" s="139"/>
      <c r="AZ45" s="125">
        <f t="shared" si="2"/>
        <v>1327.43</v>
      </c>
      <c r="BA45" s="126"/>
      <c r="BB45" s="125">
        <f t="shared" si="3"/>
        <v>39.82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06/01/2569</v>
      </c>
      <c r="BR45" s="139"/>
      <c r="BS45" s="125">
        <f t="shared" si="4"/>
        <v>1327.43</v>
      </c>
      <c r="BT45" s="126"/>
      <c r="BU45" s="125">
        <f t="shared" si="5"/>
        <v>39.82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1327.43</v>
      </c>
      <c r="P48" s="149"/>
      <c r="Q48" s="148">
        <f>SUM(Q23:R47)</f>
        <v>39.82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1327.43</v>
      </c>
      <c r="AI48" s="143"/>
      <c r="AJ48" s="142">
        <f>SUM(AJ23:AK47)</f>
        <v>39.82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1327.43</v>
      </c>
      <c r="BA48" s="143"/>
      <c r="BB48" s="142">
        <f>SUM(BB23:BC47)</f>
        <v>39.82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1327.43</v>
      </c>
      <c r="BT48" s="143"/>
      <c r="BU48" s="142">
        <f>SUM(BU23:BV47)</f>
        <v>39.82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สามสิบเก้าบาทแปดสิบสองสตางค์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สามสิบเก้าบาทแปดสิบสองสตางค์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สามสิบเก้าบาทแปดสิบสองสตางค์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สามสิบเก้าบาทแปดสิบสองสตางค์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06/01/2569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06/01/2569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06/01/2569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06/01/2569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41DD-5862-AB48-8044-DDA0829BE94D}">
  <sheetPr>
    <tabColor theme="6"/>
  </sheetPr>
  <dimension ref="A1:BV65"/>
  <sheetViews>
    <sheetView showGridLines="0" showZeros="0" zoomScale="134" zoomScaleNormal="115" workbookViewId="0">
      <pane ySplit="1" topLeftCell="A2" activePane="bottomLeft" state="frozen"/>
      <selection activeCell="G60" sqref="G60"/>
      <selection pane="bottomLeft" activeCell="K13" sqref="K13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113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6901-001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6901-001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6901-001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115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1709901461237</v>
      </c>
      <c r="Q12" s="103"/>
      <c r="R12" s="104"/>
      <c r="S12" s="49"/>
      <c r="T12" s="47" t="s">
        <v>6</v>
      </c>
      <c r="V12" s="93" t="str">
        <f>$C12</f>
        <v>นางสาวพิชชานันท์ ลี้สุขสม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1709901461237</v>
      </c>
      <c r="AJ12" s="97"/>
      <c r="AK12" s="98"/>
      <c r="AL12" s="47" t="s">
        <v>6</v>
      </c>
      <c r="AN12" s="93" t="str">
        <f>$C12</f>
        <v>นางสาวพิชชานันท์ ลี้สุขสม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1709901461237</v>
      </c>
      <c r="BB12" s="97"/>
      <c r="BC12" s="98"/>
      <c r="BD12" s="49"/>
      <c r="BE12" s="47" t="s">
        <v>6</v>
      </c>
      <c r="BG12" s="93" t="str">
        <f>$C12</f>
        <v>นางสาวพิชชานันท์ ลี้สุขสม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1709901461237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116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75/2 หมู่ 4 ต.ลำพยา อ.เมืองนครปฐม จ.นครปฐม 73000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75/2 หมู่ 4 ต.ลำพยา อ.เมืองนครปฐม จ.นครปฐม 73000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75/2 หมู่ 4 ต.ลำพยา อ.เมืองนครปฐม จ.นครปฐม 73000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117</v>
      </c>
      <c r="N45" s="120"/>
      <c r="O45" s="121">
        <v>1700</v>
      </c>
      <c r="P45" s="122"/>
      <c r="Q45" s="121">
        <f>ROUND(O45*3%,2)</f>
        <v>51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02/01/2569</v>
      </c>
      <c r="AG45" s="139"/>
      <c r="AH45" s="125">
        <f t="shared" si="0"/>
        <v>1700</v>
      </c>
      <c r="AI45" s="126"/>
      <c r="AJ45" s="125">
        <f t="shared" si="1"/>
        <v>51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02/01/2569</v>
      </c>
      <c r="AY45" s="139"/>
      <c r="AZ45" s="125">
        <f t="shared" si="2"/>
        <v>1700</v>
      </c>
      <c r="BA45" s="126"/>
      <c r="BB45" s="125">
        <f t="shared" si="3"/>
        <v>51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02/01/2569</v>
      </c>
      <c r="BR45" s="139"/>
      <c r="BS45" s="125">
        <f t="shared" si="4"/>
        <v>1700</v>
      </c>
      <c r="BT45" s="126"/>
      <c r="BU45" s="125">
        <f t="shared" si="5"/>
        <v>51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1700</v>
      </c>
      <c r="P48" s="149"/>
      <c r="Q48" s="148">
        <f>SUM(Q23:R47)</f>
        <v>51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1700</v>
      </c>
      <c r="AI48" s="143"/>
      <c r="AJ48" s="142">
        <f>SUM(AJ23:AK47)</f>
        <v>51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1700</v>
      </c>
      <c r="BA48" s="143"/>
      <c r="BB48" s="142">
        <f>SUM(BB23:BC47)</f>
        <v>51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1700</v>
      </c>
      <c r="BT48" s="143"/>
      <c r="BU48" s="142">
        <f>SUM(BU23:BV47)</f>
        <v>51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ห้าสิบเอ็ดบาทถ้วน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ห้าสิบเอ็ดบาทถ้วน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ห้าสิบเอ็ดบาทถ้วน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ห้าสิบเอ็ดบาทถ้วน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02/01/2569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02/01/2569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02/01/2569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02/01/2569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18AB-3625-2449-B31F-85F6205DBF20}">
  <sheetPr>
    <tabColor theme="6"/>
  </sheetPr>
  <dimension ref="A1:BV64"/>
  <sheetViews>
    <sheetView showGridLines="0" showZeros="0" zoomScale="112" zoomScaleNormal="90" workbookViewId="0">
      <pane ySplit="1" topLeftCell="A2" activePane="bottomLeft" state="frozen"/>
      <selection activeCell="K11" sqref="K11"/>
      <selection pane="bottomLeft" activeCell="K11" sqref="K11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112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6812-003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6812-003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6812-003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1100600484481</v>
      </c>
      <c r="Q12" s="103"/>
      <c r="R12" s="104"/>
      <c r="S12" s="49"/>
      <c r="T12" s="47" t="s">
        <v>6</v>
      </c>
      <c r="V12" s="93" t="str">
        <f>$C12</f>
        <v>นางสาว ชุติกาญจน์ ครรชนะอรรถ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1100600484481</v>
      </c>
      <c r="AJ12" s="97"/>
      <c r="AK12" s="98"/>
      <c r="AL12" s="47" t="s">
        <v>6</v>
      </c>
      <c r="AN12" s="93" t="str">
        <f>$C12</f>
        <v>นางสาว ชุติกาญจน์ ครรชนะอรรถ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1100600484481</v>
      </c>
      <c r="BB12" s="97"/>
      <c r="BC12" s="98"/>
      <c r="BD12" s="49"/>
      <c r="BE12" s="47" t="s">
        <v>6</v>
      </c>
      <c r="BG12" s="93" t="str">
        <f>$C12</f>
        <v>นางสาว ชุติกาญจน์ ครรชนะอรรถ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1100600484481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489 ถ. นาคนิวาส แขวงลาดพร้าว เขตลาดพร้าว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489 ถ. นาคนิวาส แขวงลาดพร้าว เขตลาดพร้าว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489 ถ. นาคนิวาส แขวงลาดพร้าว เขตลาดพร้าว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111</v>
      </c>
      <c r="N45" s="120"/>
      <c r="O45" s="121">
        <v>8000</v>
      </c>
      <c r="P45" s="122"/>
      <c r="Q45" s="121">
        <f>ROUND(O45*3%,2)</f>
        <v>240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24/12/2568</v>
      </c>
      <c r="AG45" s="139"/>
      <c r="AH45" s="125">
        <f t="shared" si="0"/>
        <v>8000</v>
      </c>
      <c r="AI45" s="126"/>
      <c r="AJ45" s="125">
        <f t="shared" si="1"/>
        <v>240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24/12/2568</v>
      </c>
      <c r="AY45" s="139"/>
      <c r="AZ45" s="125">
        <f t="shared" si="2"/>
        <v>8000</v>
      </c>
      <c r="BA45" s="126"/>
      <c r="BB45" s="125">
        <f t="shared" si="3"/>
        <v>240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24/12/2568</v>
      </c>
      <c r="BR45" s="139"/>
      <c r="BS45" s="125">
        <f t="shared" si="4"/>
        <v>8000</v>
      </c>
      <c r="BT45" s="126"/>
      <c r="BU45" s="125">
        <f t="shared" si="5"/>
        <v>240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8000</v>
      </c>
      <c r="P48" s="149"/>
      <c r="Q48" s="148">
        <f>SUM(Q23:R47)</f>
        <v>240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8000</v>
      </c>
      <c r="AI48" s="143"/>
      <c r="AJ48" s="142">
        <f>SUM(AJ23:AK47)</f>
        <v>240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8000</v>
      </c>
      <c r="BA48" s="143"/>
      <c r="BB48" s="142">
        <f>SUM(BB23:BC47)</f>
        <v>240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8000</v>
      </c>
      <c r="BT48" s="143"/>
      <c r="BU48" s="142">
        <f>SUM(BU23:BV47)</f>
        <v>240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24/12/2568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24/12/2568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24/12/2568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24/12/2568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1CCD-4EDD-2A4C-8361-59440B1E4FAE}">
  <sheetPr>
    <tabColor theme="6"/>
  </sheetPr>
  <dimension ref="A1:BV64"/>
  <sheetViews>
    <sheetView showGridLines="0" showZeros="0" zoomScale="142" zoomScaleNormal="90" workbookViewId="0">
      <pane ySplit="1" topLeftCell="A2" activePane="bottomLeft" state="frozen"/>
      <selection activeCell="K11" sqref="K11"/>
      <selection pane="bottomLeft" activeCell="K11" sqref="K11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110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6812-002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6812-002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6812-002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105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1103900240261</v>
      </c>
      <c r="Q12" s="103"/>
      <c r="R12" s="104"/>
      <c r="S12" s="49"/>
      <c r="T12" s="47" t="s">
        <v>6</v>
      </c>
      <c r="V12" s="93" t="str">
        <f>$C12</f>
        <v>นาย จิรายุ สุขุม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1103900240261</v>
      </c>
      <c r="AJ12" s="97"/>
      <c r="AK12" s="98"/>
      <c r="AL12" s="47" t="s">
        <v>6</v>
      </c>
      <c r="AN12" s="93" t="str">
        <f>$C12</f>
        <v>นาย จิรายุ สุขุม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1103900240261</v>
      </c>
      <c r="BB12" s="97"/>
      <c r="BC12" s="98"/>
      <c r="BD12" s="49"/>
      <c r="BE12" s="47" t="s">
        <v>6</v>
      </c>
      <c r="BG12" s="93" t="str">
        <f>$C12</f>
        <v>นาย จิรายุ สุขุม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1103900240261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106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37/141 ซ.พระยาสุเรนทร์ 39 แขวงสามวาตะวันตก เขตคลองสามวา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37/141 ซ.พระยาสุเรนทร์ 39 แขวงสามวาตะวันตก เขตคลองสามวา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37/141 ซ.พระยาสุเรนทร์ 39 แขวงสามวาตะวันตก เขตคลองสามวา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111</v>
      </c>
      <c r="N45" s="120"/>
      <c r="O45" s="121">
        <v>8000</v>
      </c>
      <c r="P45" s="122"/>
      <c r="Q45" s="121">
        <f>ROUND(O45*3%,2)</f>
        <v>240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24/12/2568</v>
      </c>
      <c r="AG45" s="139"/>
      <c r="AH45" s="125">
        <f t="shared" si="0"/>
        <v>8000</v>
      </c>
      <c r="AI45" s="126"/>
      <c r="AJ45" s="125">
        <f t="shared" si="1"/>
        <v>240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24/12/2568</v>
      </c>
      <c r="AY45" s="139"/>
      <c r="AZ45" s="125">
        <f t="shared" si="2"/>
        <v>8000</v>
      </c>
      <c r="BA45" s="126"/>
      <c r="BB45" s="125">
        <f t="shared" si="3"/>
        <v>240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24/12/2568</v>
      </c>
      <c r="BR45" s="139"/>
      <c r="BS45" s="125">
        <f t="shared" si="4"/>
        <v>8000</v>
      </c>
      <c r="BT45" s="126"/>
      <c r="BU45" s="125">
        <f t="shared" si="5"/>
        <v>240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8000</v>
      </c>
      <c r="P48" s="149"/>
      <c r="Q48" s="148">
        <f>SUM(Q23:R47)</f>
        <v>240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8000</v>
      </c>
      <c r="AI48" s="143"/>
      <c r="AJ48" s="142">
        <f>SUM(AJ23:AK47)</f>
        <v>240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8000</v>
      </c>
      <c r="BA48" s="143"/>
      <c r="BB48" s="142">
        <f>SUM(BB23:BC47)</f>
        <v>240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8000</v>
      </c>
      <c r="BT48" s="143"/>
      <c r="BU48" s="142">
        <f>SUM(BU23:BV47)</f>
        <v>240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สองร้อยสี่สิบบาทถ้วน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สองร้อยสี่สิบบาทถ้วน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สองร้อยสี่สิบบาทถ้วน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สองร้อยสี่สิบบาทถ้วน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24/12/2568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24/12/2568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24/12/2568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24/12/2568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4C3D-DB86-4049-AD0E-93DC3571CBEA}">
  <sheetPr>
    <tabColor theme="6"/>
  </sheetPr>
  <dimension ref="A1:BV65"/>
  <sheetViews>
    <sheetView showGridLines="0" showZeros="0" zoomScale="134" zoomScaleNormal="115" workbookViewId="0">
      <pane ySplit="1" topLeftCell="A2" activePane="bottomLeft" state="frozen"/>
      <selection activeCell="G60" sqref="G60"/>
      <selection pane="bottomLeft" activeCell="Q26" sqref="Q26:R26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108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6812-001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6812-001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6812-001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1101402058567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1101402058567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1101402058567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1101402058567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109</v>
      </c>
      <c r="N45" s="120"/>
      <c r="O45" s="121">
        <v>5154.6400000000003</v>
      </c>
      <c r="P45" s="122"/>
      <c r="Q45" s="121">
        <f>ROUND(O45*3%,2)</f>
        <v>154.63999999999999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10/12/2568</v>
      </c>
      <c r="AG45" s="139"/>
      <c r="AH45" s="125">
        <f t="shared" si="0"/>
        <v>5154.6400000000003</v>
      </c>
      <c r="AI45" s="126"/>
      <c r="AJ45" s="125">
        <f t="shared" si="1"/>
        <v>154.63999999999999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10/12/2568</v>
      </c>
      <c r="AY45" s="139"/>
      <c r="AZ45" s="125">
        <f t="shared" si="2"/>
        <v>5154.6400000000003</v>
      </c>
      <c r="BA45" s="126"/>
      <c r="BB45" s="125">
        <f t="shared" si="3"/>
        <v>154.63999999999999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10/12/2568</v>
      </c>
      <c r="BR45" s="139"/>
      <c r="BS45" s="125">
        <f t="shared" si="4"/>
        <v>5154.6400000000003</v>
      </c>
      <c r="BT45" s="126"/>
      <c r="BU45" s="125">
        <f t="shared" si="5"/>
        <v>154.63999999999999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5154.6400000000003</v>
      </c>
      <c r="P48" s="149"/>
      <c r="Q48" s="148">
        <f>SUM(Q23:R47)</f>
        <v>154.63999999999999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5154.6400000000003</v>
      </c>
      <c r="AI48" s="143"/>
      <c r="AJ48" s="142">
        <f>SUM(AJ23:AK47)</f>
        <v>154.63999999999999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5154.6400000000003</v>
      </c>
      <c r="BA48" s="143"/>
      <c r="BB48" s="142">
        <f>SUM(BB23:BC47)</f>
        <v>154.63999999999999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5154.6400000000003</v>
      </c>
      <c r="BT48" s="143"/>
      <c r="BU48" s="142">
        <f>SUM(BU23:BV47)</f>
        <v>154.63999999999999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10/12/2568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10/12/2568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10/12/2568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10/12/2568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F637-A83E-374F-8181-BCE4F6F834BB}">
  <sheetPr>
    <tabColor theme="6"/>
  </sheetPr>
  <dimension ref="A1:BV65"/>
  <sheetViews>
    <sheetView showGridLines="0" showZeros="0" zoomScale="140" zoomScaleNormal="90" workbookViewId="0">
      <pane ySplit="1" topLeftCell="A2" activePane="bottomLeft" state="frozen"/>
      <selection activeCell="G60" sqref="G60"/>
      <selection pane="bottomLeft" activeCell="K35" sqref="K35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104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6811-001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6811-001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6811-001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3100904843053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3100904843053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3100904843053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3100904843053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107</v>
      </c>
      <c r="N45" s="120"/>
      <c r="O45" s="121">
        <v>5154.6400000000003</v>
      </c>
      <c r="P45" s="122"/>
      <c r="Q45" s="121">
        <f>ROUND(O45*3%,2)</f>
        <v>154.63999999999999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12/11/2568</v>
      </c>
      <c r="AG45" s="139"/>
      <c r="AH45" s="125">
        <f t="shared" si="0"/>
        <v>5154.6400000000003</v>
      </c>
      <c r="AI45" s="126"/>
      <c r="AJ45" s="125">
        <f t="shared" si="1"/>
        <v>154.63999999999999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12/11/2568</v>
      </c>
      <c r="AY45" s="139"/>
      <c r="AZ45" s="125">
        <f t="shared" si="2"/>
        <v>5154.6400000000003</v>
      </c>
      <c r="BA45" s="126"/>
      <c r="BB45" s="125">
        <f t="shared" si="3"/>
        <v>154.63999999999999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12/11/2568</v>
      </c>
      <c r="BR45" s="139"/>
      <c r="BS45" s="125">
        <f t="shared" si="4"/>
        <v>5154.6400000000003</v>
      </c>
      <c r="BT45" s="126"/>
      <c r="BU45" s="125">
        <f t="shared" si="5"/>
        <v>154.63999999999999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5154.6400000000003</v>
      </c>
      <c r="P48" s="149"/>
      <c r="Q48" s="148">
        <f>SUM(Q23:R47)</f>
        <v>154.63999999999999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5154.6400000000003</v>
      </c>
      <c r="AI48" s="143"/>
      <c r="AJ48" s="142">
        <f>SUM(AJ23:AK47)</f>
        <v>154.63999999999999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5154.6400000000003</v>
      </c>
      <c r="BA48" s="143"/>
      <c r="BB48" s="142">
        <f>SUM(BB23:BC47)</f>
        <v>154.63999999999999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5154.6400000000003</v>
      </c>
      <c r="BT48" s="143"/>
      <c r="BU48" s="142">
        <f>SUM(BU23:BV47)</f>
        <v>154.63999999999999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หนึ่งร้อยห้าสิบสี่บาทหกสิบสี่สตางค์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หนึ่งร้อยห้าสิบสี่บาทหกสิบสี่สตางค์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หนึ่งร้อยห้าสิบสี่บาทหกสิบสี่สตางค์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หนึ่งร้อยห้าสิบสี่บาทหกสิบสี่สตางค์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12/11/2568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12/11/2568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12/11/2568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12/11/2568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2B41-818F-DB4A-97D9-7D6D7D67F035}">
  <sheetPr>
    <tabColor theme="6"/>
  </sheetPr>
  <dimension ref="A1:BV64"/>
  <sheetViews>
    <sheetView showGridLines="0" showZeros="0" zoomScaleNormal="90" workbookViewId="0">
      <pane ySplit="1" topLeftCell="A2" activePane="bottomLeft" state="frozen"/>
      <selection activeCell="G60" sqref="G60"/>
      <selection pane="bottomLeft" activeCell="I44" sqref="I4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102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6810-003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6810-003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6810-003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1100600484481</v>
      </c>
      <c r="Q12" s="103"/>
      <c r="R12" s="104"/>
      <c r="S12" s="49"/>
      <c r="T12" s="47" t="s">
        <v>6</v>
      </c>
      <c r="V12" s="93" t="str">
        <f>$C12</f>
        <v>นางสาว ชุติกาญจน์ ครรชนะอรรถ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1100600484481</v>
      </c>
      <c r="AJ12" s="97"/>
      <c r="AK12" s="98"/>
      <c r="AL12" s="47" t="s">
        <v>6</v>
      </c>
      <c r="AN12" s="93" t="str">
        <f>$C12</f>
        <v>นางสาว ชุติกาญจน์ ครรชนะอรรถ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1100600484481</v>
      </c>
      <c r="BB12" s="97"/>
      <c r="BC12" s="98"/>
      <c r="BD12" s="49"/>
      <c r="BE12" s="47" t="s">
        <v>6</v>
      </c>
      <c r="BG12" s="93" t="str">
        <f>$C12</f>
        <v>นางสาว ชุติกาญจน์ ครรชนะอรรถ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1100600484481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489 ถ. นาคนิวาส แขวงลาดพร้าว เขตลาดพร้าว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489 ถ. นาคนิวาส แขวงลาดพร้าว เขตลาดพร้าว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489 ถ. นาคนิวาส แขวงลาดพร้าว เขตลาดพร้าว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101</v>
      </c>
      <c r="N45" s="120"/>
      <c r="O45" s="121">
        <v>4000</v>
      </c>
      <c r="P45" s="122"/>
      <c r="Q45" s="121">
        <f>ROUND(O45*3%,2)</f>
        <v>120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30/10/2568</v>
      </c>
      <c r="AG45" s="139"/>
      <c r="AH45" s="125">
        <f t="shared" si="0"/>
        <v>4000</v>
      </c>
      <c r="AI45" s="126"/>
      <c r="AJ45" s="125">
        <f t="shared" si="1"/>
        <v>120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30/10/2568</v>
      </c>
      <c r="AY45" s="139"/>
      <c r="AZ45" s="125">
        <f t="shared" si="2"/>
        <v>4000</v>
      </c>
      <c r="BA45" s="126"/>
      <c r="BB45" s="125">
        <f t="shared" si="3"/>
        <v>120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30/10/2568</v>
      </c>
      <c r="BR45" s="139"/>
      <c r="BS45" s="125">
        <f t="shared" si="4"/>
        <v>4000</v>
      </c>
      <c r="BT45" s="126"/>
      <c r="BU45" s="125">
        <f t="shared" si="5"/>
        <v>120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4000</v>
      </c>
      <c r="P48" s="149"/>
      <c r="Q48" s="148">
        <f>SUM(Q23:R47)</f>
        <v>120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4000</v>
      </c>
      <c r="AI48" s="143"/>
      <c r="AJ48" s="142">
        <f>SUM(AJ23:AK47)</f>
        <v>120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4000</v>
      </c>
      <c r="BA48" s="143"/>
      <c r="BB48" s="142">
        <f>SUM(BB23:BC47)</f>
        <v>120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4000</v>
      </c>
      <c r="BT48" s="143"/>
      <c r="BU48" s="142">
        <f>SUM(BU23:BV47)</f>
        <v>120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หนึ่งร้อยยี่สิบบาทถ้วน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หนึ่งร้อยยี่สิบบาทถ้วน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หนึ่งร้อยยี่สิบบาทถ้วน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หนึ่งร้อยยี่สิบบาทถ้วน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30/10/2568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30/10/2568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30/10/2568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30/10/2568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40DC-C125-D74E-87F4-A00284CDED93}">
  <sheetPr>
    <tabColor theme="6"/>
  </sheetPr>
  <dimension ref="A1:BV64"/>
  <sheetViews>
    <sheetView showGridLines="0" showZeros="0" zoomScale="125" zoomScaleNormal="90" workbookViewId="0">
      <pane ySplit="1" topLeftCell="A25" activePane="bottomLeft" state="frozen"/>
      <selection activeCell="G60" sqref="G60"/>
      <selection pane="bottomLeft" activeCell="G14" sqref="G1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98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6810-002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6810-002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6810-002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99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1100600484481</v>
      </c>
      <c r="Q12" s="103"/>
      <c r="R12" s="104"/>
      <c r="S12" s="49"/>
      <c r="T12" s="47" t="s">
        <v>6</v>
      </c>
      <c r="V12" s="93" t="str">
        <f>$C12</f>
        <v>นางสาว ชุติกาญจน์ ครรชนะอรรถ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1100600484481</v>
      </c>
      <c r="AJ12" s="97"/>
      <c r="AK12" s="98"/>
      <c r="AL12" s="47" t="s">
        <v>6</v>
      </c>
      <c r="AN12" s="93" t="str">
        <f>$C12</f>
        <v>นางสาว ชุติกาญจน์ ครรชนะอรรถ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1100600484481</v>
      </c>
      <c r="BB12" s="97"/>
      <c r="BC12" s="98"/>
      <c r="BD12" s="49"/>
      <c r="BE12" s="47" t="s">
        <v>6</v>
      </c>
      <c r="BG12" s="93" t="str">
        <f>$C12</f>
        <v>นางสาว ชุติกาญจน์ ครรชนะอรรถ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1100600484481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100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489 ถ. นาคนิวาส แขวงลาดพร้าว เขตลาดพร้าว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489 ถ. นาคนิวาส แขวงลาดพร้าว เขตลาดพร้าว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489 ถ. นาคนิวาส แขวงลาดพร้าว เขตลาดพร้าว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101</v>
      </c>
      <c r="N45" s="120"/>
      <c r="O45" s="121">
        <v>10000</v>
      </c>
      <c r="P45" s="122"/>
      <c r="Q45" s="121">
        <f>ROUND(O45*3%,2)</f>
        <v>300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30/10/2568</v>
      </c>
      <c r="AG45" s="139"/>
      <c r="AH45" s="125">
        <f t="shared" si="0"/>
        <v>10000</v>
      </c>
      <c r="AI45" s="126"/>
      <c r="AJ45" s="125">
        <f t="shared" si="1"/>
        <v>300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30/10/2568</v>
      </c>
      <c r="AY45" s="139"/>
      <c r="AZ45" s="125">
        <f t="shared" si="2"/>
        <v>10000</v>
      </c>
      <c r="BA45" s="126"/>
      <c r="BB45" s="125">
        <f t="shared" si="3"/>
        <v>300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30/10/2568</v>
      </c>
      <c r="BR45" s="139"/>
      <c r="BS45" s="125">
        <f t="shared" si="4"/>
        <v>10000</v>
      </c>
      <c r="BT45" s="126"/>
      <c r="BU45" s="125">
        <f t="shared" si="5"/>
        <v>300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10000</v>
      </c>
      <c r="P48" s="149"/>
      <c r="Q48" s="148">
        <f>SUM(Q23:R47)</f>
        <v>300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10000</v>
      </c>
      <c r="AI48" s="143"/>
      <c r="AJ48" s="142">
        <f>SUM(AJ23:AK47)</f>
        <v>300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10000</v>
      </c>
      <c r="BA48" s="143"/>
      <c r="BB48" s="142">
        <f>SUM(BB23:BC47)</f>
        <v>300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10000</v>
      </c>
      <c r="BT48" s="143"/>
      <c r="BU48" s="142">
        <f>SUM(BU23:BV47)</f>
        <v>300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สามร้อยบาทถ้วน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สามร้อยบาทถ้วน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สามร้อยบาทถ้วน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สามร้อยบาทถ้วน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30/10/2568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30/10/2568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30/10/2568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30/10/2568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</sheetData>
  <mergeCells count="335">
    <mergeCell ref="BS48:BT48"/>
    <mergeCell ref="BU48:BV48"/>
    <mergeCell ref="G59:K59"/>
    <mergeCell ref="Z59:AD59"/>
    <mergeCell ref="AR59:AV59"/>
    <mergeCell ref="BK59:BO59"/>
    <mergeCell ref="O48:P48"/>
    <mergeCell ref="Q48:R48"/>
    <mergeCell ref="AH48:AI48"/>
    <mergeCell ref="AJ48:AK48"/>
    <mergeCell ref="AZ48:BA48"/>
    <mergeCell ref="BB48:BC48"/>
    <mergeCell ref="AX47:AY47"/>
    <mergeCell ref="AZ47:BA47"/>
    <mergeCell ref="BB47:BC47"/>
    <mergeCell ref="BQ47:BR47"/>
    <mergeCell ref="BS47:BT47"/>
    <mergeCell ref="BU47:BV47"/>
    <mergeCell ref="M47:N47"/>
    <mergeCell ref="O47:P47"/>
    <mergeCell ref="Q47:R47"/>
    <mergeCell ref="AF47:AG47"/>
    <mergeCell ref="AH47:AI47"/>
    <mergeCell ref="AJ47:AK47"/>
    <mergeCell ref="AX46:AY46"/>
    <mergeCell ref="AZ46:BA46"/>
    <mergeCell ref="BB46:BC46"/>
    <mergeCell ref="BQ46:BR46"/>
    <mergeCell ref="BS46:BT46"/>
    <mergeCell ref="BU46:BV46"/>
    <mergeCell ref="M46:N46"/>
    <mergeCell ref="O46:P46"/>
    <mergeCell ref="Q46:R46"/>
    <mergeCell ref="AF46:AG46"/>
    <mergeCell ref="AH46:AI46"/>
    <mergeCell ref="AJ46:AK46"/>
    <mergeCell ref="AX45:AY45"/>
    <mergeCell ref="AZ45:BA45"/>
    <mergeCell ref="BB45:BC45"/>
    <mergeCell ref="BQ45:BR45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4:AY44"/>
    <mergeCell ref="AZ44:BA44"/>
    <mergeCell ref="BB44:BC44"/>
    <mergeCell ref="BQ44:BR44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AX43:AY43"/>
    <mergeCell ref="AZ43:BA43"/>
    <mergeCell ref="BB43:BC43"/>
    <mergeCell ref="BQ43:BR43"/>
    <mergeCell ref="BS43:BT43"/>
    <mergeCell ref="BU43:BV43"/>
    <mergeCell ref="M43:N43"/>
    <mergeCell ref="O43:P43"/>
    <mergeCell ref="Q43:R43"/>
    <mergeCell ref="AF43:AG43"/>
    <mergeCell ref="AH43:AI43"/>
    <mergeCell ref="AJ43:AK43"/>
    <mergeCell ref="AX42:AY42"/>
    <mergeCell ref="AZ42:BA42"/>
    <mergeCell ref="BB42:BC42"/>
    <mergeCell ref="BQ42:BR42"/>
    <mergeCell ref="BS42:BT42"/>
    <mergeCell ref="BU42:BV42"/>
    <mergeCell ref="M42:N42"/>
    <mergeCell ref="O42:P42"/>
    <mergeCell ref="Q42:R42"/>
    <mergeCell ref="AF42:AG42"/>
    <mergeCell ref="AH42:AI42"/>
    <mergeCell ref="AJ42:AK42"/>
    <mergeCell ref="AX41:AY41"/>
    <mergeCell ref="AZ41:BA41"/>
    <mergeCell ref="BB41:BC41"/>
    <mergeCell ref="BQ41:BR41"/>
    <mergeCell ref="BS41:BT41"/>
    <mergeCell ref="BU41:BV41"/>
    <mergeCell ref="M41:N41"/>
    <mergeCell ref="O41:P41"/>
    <mergeCell ref="Q41:R41"/>
    <mergeCell ref="AF41:AG41"/>
    <mergeCell ref="AH41:AI41"/>
    <mergeCell ref="AJ41:AK41"/>
    <mergeCell ref="AX40:AY40"/>
    <mergeCell ref="AZ40:BA40"/>
    <mergeCell ref="BB40:BC40"/>
    <mergeCell ref="BQ40:BR40"/>
    <mergeCell ref="BS40:BT40"/>
    <mergeCell ref="BU40:BV40"/>
    <mergeCell ref="M40:N40"/>
    <mergeCell ref="O40:P40"/>
    <mergeCell ref="Q40:R40"/>
    <mergeCell ref="AF40:AG40"/>
    <mergeCell ref="AH40:AI40"/>
    <mergeCell ref="AJ40:AK40"/>
    <mergeCell ref="AX39:AY39"/>
    <mergeCell ref="AZ39:BA39"/>
    <mergeCell ref="BB39:BC39"/>
    <mergeCell ref="BQ39:BR39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8:AY38"/>
    <mergeCell ref="AZ38:BA38"/>
    <mergeCell ref="BB38:BC38"/>
    <mergeCell ref="BQ38:BR38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AX37:AY37"/>
    <mergeCell ref="AZ37:BA37"/>
    <mergeCell ref="BB37:BC37"/>
    <mergeCell ref="BQ37:BR37"/>
    <mergeCell ref="BS37:BT37"/>
    <mergeCell ref="BU37:BV37"/>
    <mergeCell ref="M37:N37"/>
    <mergeCell ref="O37:P37"/>
    <mergeCell ref="Q37:R37"/>
    <mergeCell ref="AF37:AG37"/>
    <mergeCell ref="AH37:AI37"/>
    <mergeCell ref="AJ37:AK37"/>
    <mergeCell ref="AX36:AY36"/>
    <mergeCell ref="AZ36:BA36"/>
    <mergeCell ref="BB36:BC36"/>
    <mergeCell ref="BQ36:BR36"/>
    <mergeCell ref="BS36:BT36"/>
    <mergeCell ref="BU36:BV36"/>
    <mergeCell ref="M36:N36"/>
    <mergeCell ref="O36:P36"/>
    <mergeCell ref="Q36:R36"/>
    <mergeCell ref="AF36:AG36"/>
    <mergeCell ref="AH36:AI36"/>
    <mergeCell ref="AJ36:AK36"/>
    <mergeCell ref="AX35:AY35"/>
    <mergeCell ref="AZ35:BA35"/>
    <mergeCell ref="BB35:BC35"/>
    <mergeCell ref="BQ35:BR35"/>
    <mergeCell ref="BS35:BT35"/>
    <mergeCell ref="BU35:BV35"/>
    <mergeCell ref="M35:N35"/>
    <mergeCell ref="O35:P35"/>
    <mergeCell ref="Q35:R35"/>
    <mergeCell ref="AF35:AG35"/>
    <mergeCell ref="AH35:AI35"/>
    <mergeCell ref="AJ35:AK35"/>
    <mergeCell ref="AX34:AY34"/>
    <mergeCell ref="AZ34:BA34"/>
    <mergeCell ref="BB34:BC34"/>
    <mergeCell ref="BQ34:BR34"/>
    <mergeCell ref="BS34:BT34"/>
    <mergeCell ref="BU34:BV34"/>
    <mergeCell ref="M34:N34"/>
    <mergeCell ref="O34:P34"/>
    <mergeCell ref="Q34:R34"/>
    <mergeCell ref="AF34:AG34"/>
    <mergeCell ref="AH34:AI34"/>
    <mergeCell ref="AJ34:AK34"/>
    <mergeCell ref="AX33:AY33"/>
    <mergeCell ref="AZ33:BA33"/>
    <mergeCell ref="BB33:BC33"/>
    <mergeCell ref="BQ33:BR33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2:AY32"/>
    <mergeCell ref="AZ32:BA32"/>
    <mergeCell ref="BB32:BC32"/>
    <mergeCell ref="BQ32:BR32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AX31:AY31"/>
    <mergeCell ref="AZ31:BA31"/>
    <mergeCell ref="BB31:BC31"/>
    <mergeCell ref="BQ31:BR31"/>
    <mergeCell ref="BS31:BT31"/>
    <mergeCell ref="BU31:BV31"/>
    <mergeCell ref="M31:N31"/>
    <mergeCell ref="O31:P31"/>
    <mergeCell ref="Q31:R31"/>
    <mergeCell ref="AF31:AG31"/>
    <mergeCell ref="AH31:AI31"/>
    <mergeCell ref="AJ31:AK31"/>
    <mergeCell ref="AX30:AY30"/>
    <mergeCell ref="AZ30:BA30"/>
    <mergeCell ref="BB30:BC30"/>
    <mergeCell ref="BQ30:BR30"/>
    <mergeCell ref="BS30:BT30"/>
    <mergeCell ref="BU30:BV30"/>
    <mergeCell ref="M30:N30"/>
    <mergeCell ref="O30:P30"/>
    <mergeCell ref="Q30:R30"/>
    <mergeCell ref="AF30:AG30"/>
    <mergeCell ref="AH30:AI30"/>
    <mergeCell ref="AJ30:AK30"/>
    <mergeCell ref="AX29:AY29"/>
    <mergeCell ref="AZ29:BA29"/>
    <mergeCell ref="BB29:BC29"/>
    <mergeCell ref="BQ29:BR29"/>
    <mergeCell ref="BS29:BT29"/>
    <mergeCell ref="BU29:BV29"/>
    <mergeCell ref="M29:N29"/>
    <mergeCell ref="O29:P29"/>
    <mergeCell ref="Q29:R29"/>
    <mergeCell ref="AF29:AG29"/>
    <mergeCell ref="AH29:AI29"/>
    <mergeCell ref="AJ29:AK29"/>
    <mergeCell ref="AX28:AY28"/>
    <mergeCell ref="AZ28:BA28"/>
    <mergeCell ref="BB28:BC28"/>
    <mergeCell ref="BQ28:BR28"/>
    <mergeCell ref="BS28:BT28"/>
    <mergeCell ref="BU28:BV28"/>
    <mergeCell ref="M28:N28"/>
    <mergeCell ref="O28:P28"/>
    <mergeCell ref="Q28:R28"/>
    <mergeCell ref="AF28:AG28"/>
    <mergeCell ref="AH28:AI28"/>
    <mergeCell ref="AJ28:AK28"/>
    <mergeCell ref="AX27:AY27"/>
    <mergeCell ref="AZ27:BA27"/>
    <mergeCell ref="BB27:BC27"/>
    <mergeCell ref="BQ27:BR27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BQ26:BR26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M25:N25"/>
    <mergeCell ref="O25:P25"/>
    <mergeCell ref="Q25:R25"/>
    <mergeCell ref="AF25:AG25"/>
    <mergeCell ref="AH25:AI25"/>
    <mergeCell ref="AJ25:AK25"/>
    <mergeCell ref="AX26:AY26"/>
    <mergeCell ref="AZ26:BA26"/>
    <mergeCell ref="BB26:BC26"/>
    <mergeCell ref="BU24:BV24"/>
    <mergeCell ref="BB23:BC23"/>
    <mergeCell ref="BQ23:BR23"/>
    <mergeCell ref="BS23:BT23"/>
    <mergeCell ref="BU23:BV23"/>
    <mergeCell ref="AX25:AY25"/>
    <mergeCell ref="AZ25:BA25"/>
    <mergeCell ref="BB25:BC25"/>
    <mergeCell ref="BQ25:BR25"/>
    <mergeCell ref="BS25:BT25"/>
    <mergeCell ref="BU25:BV25"/>
    <mergeCell ref="M24:N24"/>
    <mergeCell ref="O24:P24"/>
    <mergeCell ref="Q24:R24"/>
    <mergeCell ref="AF24:AG24"/>
    <mergeCell ref="AH24:AI24"/>
    <mergeCell ref="AJ24:AK24"/>
    <mergeCell ref="BE21:BP22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AX24:AY24"/>
    <mergeCell ref="AZ24:BA24"/>
    <mergeCell ref="BB24:BC24"/>
    <mergeCell ref="BQ24:BR24"/>
    <mergeCell ref="BS24:BT24"/>
    <mergeCell ref="A21:L22"/>
    <mergeCell ref="O21:P22"/>
    <mergeCell ref="T21:AE22"/>
    <mergeCell ref="AH21:AI22"/>
    <mergeCell ref="AL21:AW22"/>
    <mergeCell ref="AZ21:BA22"/>
    <mergeCell ref="P12:R12"/>
    <mergeCell ref="AI12:AK12"/>
    <mergeCell ref="BA12:BC12"/>
    <mergeCell ref="BT12:BV12"/>
    <mergeCell ref="A17:G19"/>
    <mergeCell ref="T17:Z19"/>
    <mergeCell ref="AL17:AR19"/>
    <mergeCell ref="BE17:BK19"/>
    <mergeCell ref="P6:R6"/>
    <mergeCell ref="BA6:BC6"/>
    <mergeCell ref="BT6:BV6"/>
    <mergeCell ref="P11:R11"/>
    <mergeCell ref="AI11:AK11"/>
    <mergeCell ref="BA11:BC11"/>
    <mergeCell ref="BT11:BV11"/>
  </mergeCells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BV65"/>
  <sheetViews>
    <sheetView showGridLines="0" showZeros="0" zoomScale="75" zoomScaleNormal="90" workbookViewId="0">
      <pane ySplit="1" topLeftCell="A2" activePane="bottomLeft" state="frozen"/>
      <selection activeCell="G60" sqref="G60"/>
      <selection pane="bottomLeft" activeCell="AB84" sqref="AB84"/>
    </sheetView>
  </sheetViews>
  <sheetFormatPr baseColWidth="10" defaultColWidth="9" defaultRowHeight="12" x14ac:dyDescent="0.15"/>
  <cols>
    <col min="1" max="1" width="2.796875" customWidth="1"/>
    <col min="2" max="2" width="2.19921875" customWidth="1"/>
    <col min="3" max="3" width="3.19921875" customWidth="1"/>
    <col min="4" max="4" width="3.796875" customWidth="1"/>
    <col min="5" max="6" width="7.796875" customWidth="1"/>
    <col min="7" max="7" width="5.796875" customWidth="1"/>
    <col min="8" max="8" width="2.796875" customWidth="1"/>
    <col min="9" max="9" width="11.796875" customWidth="1"/>
    <col min="10" max="10" width="2.796875" customWidth="1"/>
    <col min="11" max="11" width="11.796875" customWidth="1"/>
    <col min="12" max="12" width="4.796875" customWidth="1"/>
    <col min="13" max="13" width="2.796875" customWidth="1"/>
    <col min="14" max="14" width="10.796875" customWidth="1"/>
    <col min="15" max="15" width="2.796875" customWidth="1"/>
    <col min="16" max="16" width="10.796875" customWidth="1"/>
    <col min="17" max="17" width="2.796875" customWidth="1"/>
    <col min="18" max="18" width="10.796875" customWidth="1"/>
    <col min="19" max="19" width="9.19921875" customWidth="1"/>
    <col min="20" max="20" width="2.796875" customWidth="1"/>
    <col min="21" max="21" width="2.19921875" customWidth="1"/>
    <col min="22" max="22" width="3.19921875" customWidth="1"/>
    <col min="23" max="23" width="3.796875" customWidth="1"/>
    <col min="24" max="25" width="7.796875" customWidth="1"/>
    <col min="26" max="26" width="5.796875" customWidth="1"/>
    <col min="27" max="27" width="2.796875" customWidth="1"/>
    <col min="28" max="28" width="11.796875" customWidth="1"/>
    <col min="29" max="29" width="2.796875" customWidth="1"/>
    <col min="30" max="30" width="11.796875" customWidth="1"/>
    <col min="31" max="31" width="4.796875" customWidth="1"/>
    <col min="32" max="32" width="2.796875" customWidth="1"/>
    <col min="33" max="33" width="10.796875" customWidth="1"/>
    <col min="34" max="34" width="2.796875" customWidth="1"/>
    <col min="35" max="35" width="10.796875" customWidth="1"/>
    <col min="36" max="36" width="2.796875" customWidth="1"/>
    <col min="37" max="37" width="10.796875" customWidth="1"/>
    <col min="38" max="38" width="2.796875" customWidth="1"/>
    <col min="39" max="39" width="2.19921875" customWidth="1"/>
    <col min="40" max="40" width="3.19921875" customWidth="1"/>
    <col min="41" max="41" width="3.796875" customWidth="1"/>
    <col min="42" max="43" width="7.796875" customWidth="1"/>
    <col min="44" max="44" width="5.796875" customWidth="1"/>
    <col min="45" max="45" width="2.796875" customWidth="1"/>
    <col min="46" max="46" width="11.796875" customWidth="1"/>
    <col min="47" max="47" width="2.796875" customWidth="1"/>
    <col min="48" max="48" width="11.796875" customWidth="1"/>
    <col min="49" max="49" width="4.796875" customWidth="1"/>
    <col min="50" max="50" width="2.796875" customWidth="1"/>
    <col min="51" max="51" width="10.796875" customWidth="1"/>
    <col min="52" max="52" width="2.796875" customWidth="1"/>
    <col min="53" max="53" width="10.796875" customWidth="1"/>
    <col min="54" max="54" width="2.796875" customWidth="1"/>
    <col min="55" max="55" width="10.796875" customWidth="1"/>
    <col min="56" max="56" width="9.19921875" customWidth="1"/>
    <col min="57" max="57" width="2.796875" customWidth="1"/>
    <col min="58" max="58" width="2.19921875" customWidth="1"/>
    <col min="59" max="59" width="3.19921875" customWidth="1"/>
    <col min="60" max="60" width="3.796875" customWidth="1"/>
    <col min="61" max="62" width="7.796875" customWidth="1"/>
    <col min="63" max="63" width="5.796875" customWidth="1"/>
    <col min="64" max="64" width="2.796875" customWidth="1"/>
    <col min="65" max="65" width="11.796875" customWidth="1"/>
    <col min="66" max="66" width="2.796875" customWidth="1"/>
    <col min="67" max="67" width="11.796875" customWidth="1"/>
    <col min="68" max="68" width="4.796875" customWidth="1"/>
    <col min="69" max="69" width="2.796875" customWidth="1"/>
    <col min="70" max="70" width="10.796875" customWidth="1"/>
    <col min="71" max="71" width="2.796875" customWidth="1"/>
    <col min="72" max="72" width="10.796875" customWidth="1"/>
    <col min="73" max="73" width="2.796875" customWidth="1"/>
    <col min="74" max="74" width="10.796875" customWidth="1"/>
  </cols>
  <sheetData>
    <row r="1" spans="1:74" x14ac:dyDescent="0.15">
      <c r="A1" s="30" t="s">
        <v>68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50" t="s">
        <v>79</v>
      </c>
      <c r="T1" s="64" t="s">
        <v>80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65" t="s">
        <v>81</v>
      </c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50" t="s">
        <v>79</v>
      </c>
      <c r="BE1" s="65" t="s">
        <v>82</v>
      </c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</row>
    <row r="2" spans="1:74" ht="18.5" customHeight="1" x14ac:dyDescent="0.2">
      <c r="A2" s="28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4" t="s">
        <v>2</v>
      </c>
      <c r="Q2" s="3"/>
      <c r="R2" s="14"/>
      <c r="T2" s="28" t="s">
        <v>0</v>
      </c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" t="s">
        <v>2</v>
      </c>
      <c r="AJ2" s="3"/>
      <c r="AK2" s="14"/>
      <c r="AL2" s="28" t="s">
        <v>0</v>
      </c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4" t="s">
        <v>2</v>
      </c>
      <c r="BB2" s="3"/>
      <c r="BC2" s="14"/>
      <c r="BE2" s="28" t="s">
        <v>0</v>
      </c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4" t="s">
        <v>2</v>
      </c>
      <c r="BU2" s="3"/>
      <c r="BV2" s="14"/>
    </row>
    <row r="3" spans="1:74" ht="17" x14ac:dyDescent="0.2">
      <c r="A3" s="29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16" t="s">
        <v>3</v>
      </c>
      <c r="Q3" s="82" t="s">
        <v>91</v>
      </c>
      <c r="R3" s="62"/>
      <c r="T3" s="29" t="s">
        <v>1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16" t="s">
        <v>3</v>
      </c>
      <c r="AJ3" s="86" t="str">
        <f>$Q3</f>
        <v>6810-001</v>
      </c>
      <c r="AK3" s="73"/>
      <c r="AL3" s="29" t="s">
        <v>1</v>
      </c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16" t="s">
        <v>3</v>
      </c>
      <c r="BB3" s="86" t="str">
        <f>$Q3</f>
        <v>6810-001</v>
      </c>
      <c r="BC3" s="73"/>
      <c r="BE3" s="29" t="s">
        <v>1</v>
      </c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16" t="s">
        <v>3</v>
      </c>
      <c r="BU3" s="86" t="str">
        <f>$Q3</f>
        <v>6810-001</v>
      </c>
      <c r="BV3" s="73"/>
    </row>
    <row r="4" spans="1:74" ht="5" customHeight="1" x14ac:dyDescent="0.15"/>
    <row r="5" spans="1:74" ht="15" customHeight="1" x14ac:dyDescent="0.25">
      <c r="A5" s="31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4" t="s">
        <v>5</v>
      </c>
      <c r="P5" s="74" t="s">
        <v>70</v>
      </c>
      <c r="Q5" s="70"/>
      <c r="R5" s="69"/>
      <c r="S5" s="49"/>
      <c r="T5" s="31" t="s">
        <v>4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51"/>
      <c r="AH5" s="4" t="s">
        <v>5</v>
      </c>
      <c r="AI5" s="69" t="str">
        <f>$P5</f>
        <v>- ---- ----- -- -</v>
      </c>
      <c r="AJ5" s="70"/>
      <c r="AK5" s="69"/>
      <c r="AL5" s="31" t="s">
        <v>4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4"/>
      <c r="AY5" s="51"/>
      <c r="AZ5" s="4" t="s">
        <v>5</v>
      </c>
      <c r="BA5" s="69" t="str">
        <f>$P5</f>
        <v>- ---- ----- -- -</v>
      </c>
      <c r="BB5" s="70"/>
      <c r="BC5" s="69"/>
      <c r="BD5" s="49"/>
      <c r="BE5" s="31" t="s">
        <v>4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51"/>
      <c r="BS5" s="4" t="s">
        <v>5</v>
      </c>
      <c r="BT5" s="69" t="str">
        <f>$P5</f>
        <v>- ---- ----- -- -</v>
      </c>
      <c r="BU5" s="70"/>
      <c r="BV5" s="69"/>
    </row>
    <row r="6" spans="1:74" ht="21" customHeight="1" x14ac:dyDescent="0.25">
      <c r="A6" s="47" t="s">
        <v>6</v>
      </c>
      <c r="C6" s="91" t="s">
        <v>92</v>
      </c>
      <c r="D6" s="48"/>
      <c r="E6" s="48"/>
      <c r="F6" s="48"/>
      <c r="G6" s="48"/>
      <c r="H6" s="48"/>
      <c r="I6" s="48"/>
      <c r="J6" s="48"/>
      <c r="K6" s="48"/>
      <c r="N6" s="5"/>
      <c r="O6" s="5" t="s">
        <v>7</v>
      </c>
      <c r="P6" s="103">
        <v>105568202086</v>
      </c>
      <c r="Q6" s="103"/>
      <c r="R6" s="104"/>
      <c r="S6" s="49"/>
      <c r="T6" s="47" t="s">
        <v>6</v>
      </c>
      <c r="V6" s="93" t="str">
        <f>$C6</f>
        <v>บริษัท โซนาร์ เอไอ จำกัด</v>
      </c>
      <c r="W6" s="55"/>
      <c r="X6" s="55"/>
      <c r="Y6" s="55"/>
      <c r="Z6" s="55"/>
      <c r="AA6" s="55"/>
      <c r="AB6" s="55"/>
      <c r="AC6" s="55"/>
      <c r="AD6" s="55"/>
      <c r="AF6" s="5"/>
      <c r="AG6" s="52"/>
      <c r="AH6" s="5" t="s">
        <v>7</v>
      </c>
      <c r="AI6" s="85">
        <f>$P6</f>
        <v>105568202086</v>
      </c>
      <c r="AJ6" s="80"/>
      <c r="AK6" s="79"/>
      <c r="AL6" s="47" t="s">
        <v>6</v>
      </c>
      <c r="AN6" s="93" t="str">
        <f>$C6</f>
        <v>บริษัท โซนาร์ เอไอ จำกัด</v>
      </c>
      <c r="AO6" s="55"/>
      <c r="AP6" s="55"/>
      <c r="AQ6" s="55"/>
      <c r="AR6" s="55"/>
      <c r="AS6" s="55"/>
      <c r="AT6" s="55"/>
      <c r="AU6" s="55"/>
      <c r="AV6" s="55"/>
      <c r="AX6" s="5"/>
      <c r="AY6" s="52"/>
      <c r="AZ6" s="5" t="s">
        <v>7</v>
      </c>
      <c r="BA6" s="97">
        <f>$P6</f>
        <v>105568202086</v>
      </c>
      <c r="BB6" s="97"/>
      <c r="BC6" s="98"/>
      <c r="BD6" s="49"/>
      <c r="BE6" s="47" t="s">
        <v>6</v>
      </c>
      <c r="BG6" s="93" t="str">
        <f>$C6</f>
        <v>บริษัท โซนาร์ เอไอ จำกัด</v>
      </c>
      <c r="BH6" s="55"/>
      <c r="BI6" s="55"/>
      <c r="BJ6" s="55"/>
      <c r="BK6" s="55"/>
      <c r="BL6" s="55"/>
      <c r="BM6" s="55"/>
      <c r="BN6" s="55"/>
      <c r="BO6" s="55"/>
      <c r="BQ6" s="5"/>
      <c r="BR6" s="52"/>
      <c r="BS6" s="5" t="s">
        <v>7</v>
      </c>
      <c r="BT6" s="97">
        <f>$P6</f>
        <v>105568202086</v>
      </c>
      <c r="BU6" s="97"/>
      <c r="BV6" s="98"/>
    </row>
    <row r="7" spans="1:74" x14ac:dyDescent="0.15">
      <c r="A7" s="6"/>
      <c r="C7" s="7" t="s">
        <v>67</v>
      </c>
      <c r="R7" s="8"/>
      <c r="T7" s="6"/>
      <c r="V7" s="7" t="s">
        <v>67</v>
      </c>
      <c r="AK7" s="8"/>
      <c r="AL7" s="6"/>
      <c r="AN7" s="7" t="s">
        <v>67</v>
      </c>
      <c r="BC7" s="8"/>
      <c r="BE7" s="6"/>
      <c r="BG7" s="7" t="s">
        <v>67</v>
      </c>
      <c r="BV7" s="8"/>
    </row>
    <row r="8" spans="1:74" ht="21" customHeight="1" x14ac:dyDescent="0.15">
      <c r="A8" s="47" t="s">
        <v>8</v>
      </c>
      <c r="C8" s="81" t="s">
        <v>97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2"/>
      <c r="P8" s="2"/>
      <c r="Q8" s="2"/>
      <c r="R8" s="9"/>
      <c r="T8" s="47" t="s">
        <v>8</v>
      </c>
      <c r="V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6"/>
      <c r="AI8" s="56"/>
      <c r="AJ8" s="56"/>
      <c r="AK8" s="57"/>
      <c r="AL8" s="47" t="s">
        <v>8</v>
      </c>
      <c r="AN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6"/>
      <c r="BA8" s="56"/>
      <c r="BB8" s="56"/>
      <c r="BC8" s="57"/>
      <c r="BE8" s="47" t="s">
        <v>8</v>
      </c>
      <c r="BG8" s="84" t="str">
        <f>$C8</f>
        <v>360/83 ลุมพินีทาวน์วิลล์ ลาดกระบัง-สุวรรณภูมิ ถนนหลวงแพ่ง แขวงทับยาว เขตลาดกระบัง กรุงเทพมหานคร</v>
      </c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6"/>
      <c r="BT8" s="56"/>
      <c r="BU8" s="56"/>
      <c r="BV8" s="57"/>
    </row>
    <row r="9" spans="1:74" x14ac:dyDescent="0.15">
      <c r="A9" s="10"/>
      <c r="B9" s="11"/>
      <c r="C9" s="12" t="s">
        <v>9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3"/>
      <c r="T9" s="10"/>
      <c r="U9" s="11"/>
      <c r="V9" s="12" t="s">
        <v>9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3"/>
      <c r="AL9" s="10"/>
      <c r="AM9" s="11"/>
      <c r="AN9" s="12" t="s">
        <v>9</v>
      </c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3"/>
      <c r="BE9" s="10"/>
      <c r="BF9" s="11"/>
      <c r="BG9" s="12" t="s">
        <v>9</v>
      </c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3"/>
    </row>
    <row r="10" spans="1:74" ht="5" customHeight="1" x14ac:dyDescent="0.15"/>
    <row r="11" spans="1:74" ht="20.25" customHeight="1" x14ac:dyDescent="0.25">
      <c r="A11" s="3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  <c r="N11" s="51"/>
      <c r="O11" s="4" t="s">
        <v>5</v>
      </c>
      <c r="P11" s="105"/>
      <c r="Q11" s="105"/>
      <c r="R11" s="106"/>
      <c r="S11" s="49"/>
      <c r="T11" s="31" t="s">
        <v>10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4"/>
      <c r="AG11" s="51"/>
      <c r="AH11" s="4" t="s">
        <v>5</v>
      </c>
      <c r="AI11" s="107">
        <f>$P11</f>
        <v>0</v>
      </c>
      <c r="AJ11" s="107"/>
      <c r="AK11" s="108"/>
      <c r="AL11" s="31" t="s">
        <v>10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4"/>
      <c r="AY11" s="51"/>
      <c r="AZ11" s="4" t="s">
        <v>5</v>
      </c>
      <c r="BA11" s="107">
        <f>$P11</f>
        <v>0</v>
      </c>
      <c r="BB11" s="107"/>
      <c r="BC11" s="108"/>
      <c r="BD11" s="49"/>
      <c r="BE11" s="31" t="s">
        <v>10</v>
      </c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51"/>
      <c r="BS11" s="4" t="s">
        <v>5</v>
      </c>
      <c r="BT11" s="107">
        <f>$P11</f>
        <v>0</v>
      </c>
      <c r="BU11" s="107"/>
      <c r="BV11" s="108"/>
    </row>
    <row r="12" spans="1:74" ht="21" customHeight="1" x14ac:dyDescent="0.25">
      <c r="A12" s="47" t="s">
        <v>6</v>
      </c>
      <c r="C12" s="91" t="s">
        <v>93</v>
      </c>
      <c r="D12" s="48"/>
      <c r="E12" s="48"/>
      <c r="F12" s="48"/>
      <c r="G12" s="48"/>
      <c r="H12" s="48"/>
      <c r="I12" s="48"/>
      <c r="J12" s="48"/>
      <c r="K12" s="48"/>
      <c r="M12" s="5"/>
      <c r="N12" s="52"/>
      <c r="O12" s="5" t="s">
        <v>7</v>
      </c>
      <c r="P12" s="103">
        <v>3100904843053</v>
      </c>
      <c r="Q12" s="103"/>
      <c r="R12" s="104"/>
      <c r="S12" s="49"/>
      <c r="T12" s="47" t="s">
        <v>6</v>
      </c>
      <c r="V12" s="93" t="str">
        <f>$C12</f>
        <v>นาย ชยันต์ ไชยพร</v>
      </c>
      <c r="W12" s="55"/>
      <c r="X12" s="55"/>
      <c r="Y12" s="55"/>
      <c r="Z12" s="55"/>
      <c r="AA12" s="55"/>
      <c r="AB12" s="55"/>
      <c r="AC12" s="55"/>
      <c r="AD12" s="55"/>
      <c r="AF12" s="5"/>
      <c r="AG12" s="52"/>
      <c r="AH12" s="5" t="s">
        <v>7</v>
      </c>
      <c r="AI12" s="97">
        <f>$P12</f>
        <v>3100904843053</v>
      </c>
      <c r="AJ12" s="97"/>
      <c r="AK12" s="98"/>
      <c r="AL12" s="47" t="s">
        <v>6</v>
      </c>
      <c r="AN12" s="93" t="str">
        <f>$C12</f>
        <v>นาย ชยันต์ ไชยพร</v>
      </c>
      <c r="AO12" s="55"/>
      <c r="AP12" s="55"/>
      <c r="AQ12" s="55"/>
      <c r="AR12" s="55"/>
      <c r="AS12" s="55"/>
      <c r="AT12" s="55"/>
      <c r="AU12" s="55"/>
      <c r="AV12" s="55"/>
      <c r="AX12" s="5"/>
      <c r="AY12" s="52"/>
      <c r="AZ12" s="5" t="s">
        <v>7</v>
      </c>
      <c r="BA12" s="97">
        <f>$P12</f>
        <v>3100904843053</v>
      </c>
      <c r="BB12" s="97"/>
      <c r="BC12" s="98"/>
      <c r="BD12" s="49"/>
      <c r="BE12" s="47" t="s">
        <v>6</v>
      </c>
      <c r="BG12" s="93" t="str">
        <f>$C12</f>
        <v>นาย ชยันต์ ไชยพร</v>
      </c>
      <c r="BH12" s="55"/>
      <c r="BI12" s="55"/>
      <c r="BJ12" s="55"/>
      <c r="BK12" s="55"/>
      <c r="BL12" s="55"/>
      <c r="BM12" s="55"/>
      <c r="BN12" s="55"/>
      <c r="BO12" s="55"/>
      <c r="BQ12" s="5"/>
      <c r="BR12" s="52"/>
      <c r="BS12" s="5" t="s">
        <v>7</v>
      </c>
      <c r="BT12" s="97">
        <f>$P12</f>
        <v>3100904843053</v>
      </c>
      <c r="BU12" s="97"/>
      <c r="BV12" s="98"/>
    </row>
    <row r="13" spans="1:74" x14ac:dyDescent="0.15">
      <c r="A13" s="6"/>
      <c r="C13" s="7" t="s">
        <v>67</v>
      </c>
      <c r="R13" s="8"/>
      <c r="T13" s="6"/>
      <c r="V13" s="7" t="s">
        <v>67</v>
      </c>
      <c r="AK13" s="8"/>
      <c r="AL13" s="6"/>
      <c r="AN13" s="7" t="s">
        <v>67</v>
      </c>
      <c r="BC13" s="8"/>
      <c r="BE13" s="6"/>
      <c r="BG13" s="7" t="s">
        <v>67</v>
      </c>
      <c r="BV13" s="8"/>
    </row>
    <row r="14" spans="1:74" ht="21" customHeight="1" x14ac:dyDescent="0.15">
      <c r="A14" s="47" t="s">
        <v>8</v>
      </c>
      <c r="C14" s="81" t="s">
        <v>94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"/>
      <c r="P14" s="2"/>
      <c r="Q14" s="2"/>
      <c r="R14" s="9"/>
      <c r="T14" s="47" t="s">
        <v>8</v>
      </c>
      <c r="V14" s="84" t="str">
        <f>$C14</f>
        <v>45 ซ.จัดสรรเอื้อวัฒนสกุล แขวงพัฒนาการ เขตสวนหลวง กรุงเทพมหานคร</v>
      </c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6"/>
      <c r="AI14" s="56"/>
      <c r="AJ14" s="56"/>
      <c r="AK14" s="57"/>
      <c r="AL14" s="47" t="s">
        <v>8</v>
      </c>
      <c r="AN14" s="84" t="str">
        <f>$C14</f>
        <v>45 ซ.จัดสรรเอื้อวัฒนสกุล แขวงพัฒนาการ เขตสวนหลวง กรุงเทพมหานคร</v>
      </c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6"/>
      <c r="BA14" s="56"/>
      <c r="BB14" s="56"/>
      <c r="BC14" s="57"/>
      <c r="BE14" s="47" t="s">
        <v>8</v>
      </c>
      <c r="BG14" s="84" t="str">
        <f>$C14</f>
        <v>45 ซ.จัดสรรเอื้อวัฒนสกุล แขวงพัฒนาการ เขตสวนหลวง กรุงเทพมหานคร</v>
      </c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6"/>
      <c r="BT14" s="56"/>
      <c r="BU14" s="56"/>
      <c r="BV14" s="57"/>
    </row>
    <row r="15" spans="1:74" ht="13" thickBot="1" x14ac:dyDescent="0.2">
      <c r="A15" s="6"/>
      <c r="C15" s="7" t="s">
        <v>9</v>
      </c>
      <c r="R15" s="8"/>
      <c r="T15" s="6"/>
      <c r="V15" s="7" t="s">
        <v>9</v>
      </c>
      <c r="AK15" s="8"/>
      <c r="AL15" s="6"/>
      <c r="AN15" s="7" t="s">
        <v>9</v>
      </c>
      <c r="BC15" s="8"/>
      <c r="BE15" s="6"/>
      <c r="BG15" s="7" t="s">
        <v>9</v>
      </c>
      <c r="BV15" s="8"/>
    </row>
    <row r="16" spans="1:74" ht="16" customHeight="1" thickBot="1" x14ac:dyDescent="0.25">
      <c r="A16" s="17" t="s">
        <v>11</v>
      </c>
      <c r="D16" s="20"/>
      <c r="E16" s="21"/>
      <c r="F16" s="18" t="s">
        <v>12</v>
      </c>
      <c r="H16" s="32"/>
      <c r="I16" t="s">
        <v>13</v>
      </c>
      <c r="J16" s="32"/>
      <c r="K16" t="s">
        <v>14</v>
      </c>
      <c r="M16" s="32"/>
      <c r="N16" t="s">
        <v>15</v>
      </c>
      <c r="O16" s="32"/>
      <c r="P16" t="s">
        <v>16</v>
      </c>
      <c r="R16" s="8"/>
      <c r="T16" s="17" t="s">
        <v>11</v>
      </c>
      <c r="W16" s="20"/>
      <c r="X16" s="21"/>
      <c r="Y16" s="18" t="s">
        <v>12</v>
      </c>
      <c r="AA16" s="58">
        <f>$H16</f>
        <v>0</v>
      </c>
      <c r="AB16" t="s">
        <v>13</v>
      </c>
      <c r="AC16" s="58">
        <f>$J16</f>
        <v>0</v>
      </c>
      <c r="AD16" t="s">
        <v>14</v>
      </c>
      <c r="AF16" s="58">
        <f>$M16</f>
        <v>0</v>
      </c>
      <c r="AG16" t="s">
        <v>15</v>
      </c>
      <c r="AH16" s="58">
        <f>$O16</f>
        <v>0</v>
      </c>
      <c r="AI16" t="s">
        <v>16</v>
      </c>
      <c r="AK16" s="8"/>
      <c r="AL16" s="17" t="s">
        <v>11</v>
      </c>
      <c r="AO16" s="20"/>
      <c r="AP16" s="21"/>
      <c r="AQ16" s="18" t="s">
        <v>12</v>
      </c>
      <c r="AS16" s="58">
        <f>$H16</f>
        <v>0</v>
      </c>
      <c r="AT16" t="s">
        <v>13</v>
      </c>
      <c r="AU16" s="58">
        <f>$J16</f>
        <v>0</v>
      </c>
      <c r="AV16" t="s">
        <v>14</v>
      </c>
      <c r="AX16" s="58">
        <f>$M16</f>
        <v>0</v>
      </c>
      <c r="AY16" t="s">
        <v>15</v>
      </c>
      <c r="AZ16" s="58">
        <f>$O16</f>
        <v>0</v>
      </c>
      <c r="BA16" t="s">
        <v>16</v>
      </c>
      <c r="BC16" s="8"/>
      <c r="BE16" s="17" t="s">
        <v>11</v>
      </c>
      <c r="BH16" s="20"/>
      <c r="BI16" s="21"/>
      <c r="BJ16" s="18" t="s">
        <v>12</v>
      </c>
      <c r="BL16" s="58">
        <f>$H16</f>
        <v>0</v>
      </c>
      <c r="BM16" t="s">
        <v>13</v>
      </c>
      <c r="BN16" s="58">
        <f>$J16</f>
        <v>0</v>
      </c>
      <c r="BO16" t="s">
        <v>14</v>
      </c>
      <c r="BQ16" s="58">
        <f>$M16</f>
        <v>0</v>
      </c>
      <c r="BR16" t="s">
        <v>15</v>
      </c>
      <c r="BS16" s="58">
        <f>$O16</f>
        <v>0</v>
      </c>
      <c r="BT16" t="s">
        <v>16</v>
      </c>
      <c r="BV16" s="8"/>
    </row>
    <row r="17" spans="1:74" ht="7" customHeight="1" thickTop="1" thickBot="1" x14ac:dyDescent="0.2">
      <c r="A17" s="99" t="s">
        <v>17</v>
      </c>
      <c r="B17" s="100"/>
      <c r="C17" s="100"/>
      <c r="D17" s="100"/>
      <c r="E17" s="100"/>
      <c r="F17" s="100"/>
      <c r="G17" s="100"/>
      <c r="H17" s="71"/>
      <c r="J17" s="71"/>
      <c r="M17" s="71"/>
      <c r="O17" s="71"/>
      <c r="R17" s="8"/>
      <c r="T17" s="99" t="s">
        <v>17</v>
      </c>
      <c r="U17" s="100"/>
      <c r="V17" s="100"/>
      <c r="W17" s="100"/>
      <c r="X17" s="100"/>
      <c r="Y17" s="100"/>
      <c r="Z17" s="100"/>
      <c r="AA17" s="71"/>
      <c r="AC17" s="71"/>
      <c r="AF17" s="71"/>
      <c r="AH17" s="71"/>
      <c r="AK17" s="8"/>
      <c r="AL17" s="99" t="s">
        <v>17</v>
      </c>
      <c r="AM17" s="100"/>
      <c r="AN17" s="100"/>
      <c r="AO17" s="100"/>
      <c r="AP17" s="100"/>
      <c r="AQ17" s="100"/>
      <c r="AR17" s="100"/>
      <c r="AS17" s="71"/>
      <c r="AU17" s="71"/>
      <c r="AX17" s="71"/>
      <c r="AZ17" s="71"/>
      <c r="BC17" s="8"/>
      <c r="BE17" s="99" t="s">
        <v>17</v>
      </c>
      <c r="BF17" s="100"/>
      <c r="BG17" s="100"/>
      <c r="BH17" s="100"/>
      <c r="BI17" s="100"/>
      <c r="BJ17" s="100"/>
      <c r="BK17" s="100"/>
      <c r="BL17" s="71"/>
      <c r="BN17" s="71"/>
      <c r="BQ17" s="71"/>
      <c r="BS17" s="71"/>
      <c r="BV17" s="8"/>
    </row>
    <row r="18" spans="1:74" s="1" customFormat="1" ht="16" customHeight="1" thickBot="1" x14ac:dyDescent="0.25">
      <c r="A18" s="99"/>
      <c r="B18" s="100"/>
      <c r="C18" s="100"/>
      <c r="D18" s="100"/>
      <c r="E18" s="100"/>
      <c r="F18" s="100"/>
      <c r="G18" s="100"/>
      <c r="H18" s="78" t="s">
        <v>90</v>
      </c>
      <c r="I18" t="s">
        <v>18</v>
      </c>
      <c r="J18" s="32"/>
      <c r="K18" t="s">
        <v>19</v>
      </c>
      <c r="M18" s="78"/>
      <c r="N18" t="s">
        <v>20</v>
      </c>
      <c r="P18"/>
      <c r="R18" s="19"/>
      <c r="S18"/>
      <c r="T18" s="99"/>
      <c r="U18" s="100"/>
      <c r="V18" s="100"/>
      <c r="W18" s="100"/>
      <c r="X18" s="100"/>
      <c r="Y18" s="100"/>
      <c r="Z18" s="100"/>
      <c r="AA18" s="58" t="str">
        <f>$H18</f>
        <v>x</v>
      </c>
      <c r="AB18" t="s">
        <v>18</v>
      </c>
      <c r="AC18" s="58">
        <f>$J18</f>
        <v>0</v>
      </c>
      <c r="AD18" t="s">
        <v>19</v>
      </c>
      <c r="AF18" s="58">
        <f>$M18</f>
        <v>0</v>
      </c>
      <c r="AG18" t="s">
        <v>20</v>
      </c>
      <c r="AI18"/>
      <c r="AK18" s="19"/>
      <c r="AL18" s="99"/>
      <c r="AM18" s="100"/>
      <c r="AN18" s="100"/>
      <c r="AO18" s="100"/>
      <c r="AP18" s="100"/>
      <c r="AQ18" s="100"/>
      <c r="AR18" s="100"/>
      <c r="AS18" s="58" t="str">
        <f>$H18</f>
        <v>x</v>
      </c>
      <c r="AT18" t="s">
        <v>18</v>
      </c>
      <c r="AU18" s="58">
        <f>$J18</f>
        <v>0</v>
      </c>
      <c r="AV18" t="s">
        <v>19</v>
      </c>
      <c r="AX18" s="58">
        <f>$M18</f>
        <v>0</v>
      </c>
      <c r="AY18" t="s">
        <v>20</v>
      </c>
      <c r="BA18"/>
      <c r="BC18" s="19"/>
      <c r="BD18"/>
      <c r="BE18" s="99"/>
      <c r="BF18" s="100"/>
      <c r="BG18" s="100"/>
      <c r="BH18" s="100"/>
      <c r="BI18" s="100"/>
      <c r="BJ18" s="100"/>
      <c r="BK18" s="100"/>
      <c r="BL18" s="58" t="str">
        <f>$H18</f>
        <v>x</v>
      </c>
      <c r="BM18" t="s">
        <v>18</v>
      </c>
      <c r="BN18" s="58">
        <f>$J18</f>
        <v>0</v>
      </c>
      <c r="BO18" t="s">
        <v>19</v>
      </c>
      <c r="BQ18" s="58">
        <f>$M18</f>
        <v>0</v>
      </c>
      <c r="BR18" t="s">
        <v>20</v>
      </c>
      <c r="BT18"/>
      <c r="BV18" s="19"/>
    </row>
    <row r="19" spans="1:74" ht="7" customHeight="1" x14ac:dyDescent="0.15">
      <c r="A19" s="101"/>
      <c r="B19" s="102"/>
      <c r="C19" s="102"/>
      <c r="D19" s="102"/>
      <c r="E19" s="102"/>
      <c r="F19" s="102"/>
      <c r="G19" s="102"/>
      <c r="H19" s="72"/>
      <c r="I19" s="11"/>
      <c r="J19" s="11"/>
      <c r="K19" s="11"/>
      <c r="L19" s="11"/>
      <c r="M19" s="11"/>
      <c r="N19" s="11"/>
      <c r="O19" s="11"/>
      <c r="P19" s="11"/>
      <c r="Q19" s="11"/>
      <c r="R19" s="13"/>
      <c r="T19" s="101"/>
      <c r="U19" s="102"/>
      <c r="V19" s="102"/>
      <c r="W19" s="102"/>
      <c r="X19" s="102"/>
      <c r="Y19" s="102"/>
      <c r="Z19" s="102"/>
      <c r="AA19" s="72"/>
      <c r="AB19" s="11"/>
      <c r="AC19" s="11"/>
      <c r="AD19" s="11"/>
      <c r="AE19" s="11"/>
      <c r="AF19" s="11"/>
      <c r="AG19" s="11"/>
      <c r="AH19" s="11"/>
      <c r="AI19" s="11"/>
      <c r="AJ19" s="11"/>
      <c r="AK19" s="13"/>
      <c r="AL19" s="101"/>
      <c r="AM19" s="102"/>
      <c r="AN19" s="102"/>
      <c r="AO19" s="102"/>
      <c r="AP19" s="102"/>
      <c r="AQ19" s="102"/>
      <c r="AR19" s="102"/>
      <c r="AS19" s="72"/>
      <c r="AT19" s="11"/>
      <c r="AU19" s="11"/>
      <c r="AV19" s="11"/>
      <c r="AW19" s="11"/>
      <c r="AX19" s="11"/>
      <c r="AY19" s="11"/>
      <c r="AZ19" s="11"/>
      <c r="BA19" s="11"/>
      <c r="BB19" s="11"/>
      <c r="BC19" s="13"/>
      <c r="BE19" s="101"/>
      <c r="BF19" s="102"/>
      <c r="BG19" s="102"/>
      <c r="BH19" s="102"/>
      <c r="BI19" s="102"/>
      <c r="BJ19" s="102"/>
      <c r="BK19" s="102"/>
      <c r="BL19" s="72"/>
      <c r="BM19" s="11"/>
      <c r="BN19" s="11"/>
      <c r="BO19" s="11"/>
      <c r="BP19" s="11"/>
      <c r="BQ19" s="11"/>
      <c r="BR19" s="11"/>
      <c r="BS19" s="11"/>
      <c r="BT19" s="11"/>
      <c r="BU19" s="11"/>
      <c r="BV19" s="13"/>
    </row>
    <row r="20" spans="1:74" ht="5" customHeight="1" x14ac:dyDescent="0.15"/>
    <row r="21" spans="1:74" ht="12.75" customHeight="1" x14ac:dyDescent="0.15">
      <c r="A21" s="109" t="s">
        <v>21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1"/>
      <c r="M21" s="22" t="s">
        <v>22</v>
      </c>
      <c r="N21" s="23"/>
      <c r="O21" s="115" t="s">
        <v>24</v>
      </c>
      <c r="P21" s="116"/>
      <c r="Q21" s="22" t="s">
        <v>25</v>
      </c>
      <c r="R21" s="23"/>
      <c r="T21" s="109" t="s">
        <v>21</v>
      </c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22" t="s">
        <v>22</v>
      </c>
      <c r="AG21" s="23"/>
      <c r="AH21" s="115" t="s">
        <v>24</v>
      </c>
      <c r="AI21" s="116"/>
      <c r="AJ21" s="22" t="s">
        <v>25</v>
      </c>
      <c r="AK21" s="23"/>
      <c r="AL21" s="109" t="s">
        <v>21</v>
      </c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1"/>
      <c r="AX21" s="22" t="s">
        <v>22</v>
      </c>
      <c r="AY21" s="23"/>
      <c r="AZ21" s="115" t="s">
        <v>24</v>
      </c>
      <c r="BA21" s="116"/>
      <c r="BB21" s="22" t="s">
        <v>25</v>
      </c>
      <c r="BC21" s="23"/>
      <c r="BE21" s="109" t="s">
        <v>21</v>
      </c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1"/>
      <c r="BQ21" s="22" t="s">
        <v>22</v>
      </c>
      <c r="BR21" s="23"/>
      <c r="BS21" s="115" t="s">
        <v>24</v>
      </c>
      <c r="BT21" s="116"/>
      <c r="BU21" s="22" t="s">
        <v>25</v>
      </c>
      <c r="BV21" s="23"/>
    </row>
    <row r="22" spans="1:74" ht="12.75" customHeight="1" x14ac:dyDescent="0.15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4"/>
      <c r="M22" s="24" t="s">
        <v>23</v>
      </c>
      <c r="N22" s="25"/>
      <c r="O22" s="117"/>
      <c r="P22" s="118"/>
      <c r="Q22" s="24" t="s">
        <v>26</v>
      </c>
      <c r="R22" s="25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24" t="s">
        <v>23</v>
      </c>
      <c r="AG22" s="25"/>
      <c r="AH22" s="117"/>
      <c r="AI22" s="118"/>
      <c r="AJ22" s="24" t="s">
        <v>26</v>
      </c>
      <c r="AK22" s="25"/>
      <c r="AL22" s="112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4"/>
      <c r="AX22" s="24" t="s">
        <v>23</v>
      </c>
      <c r="AY22" s="25"/>
      <c r="AZ22" s="117"/>
      <c r="BA22" s="118"/>
      <c r="BB22" s="24" t="s">
        <v>26</v>
      </c>
      <c r="BC22" s="25"/>
      <c r="BE22" s="112"/>
      <c r="BF22" s="113"/>
      <c r="BG22" s="113"/>
      <c r="BH22" s="113"/>
      <c r="BI22" s="113"/>
      <c r="BJ22" s="113"/>
      <c r="BK22" s="113"/>
      <c r="BL22" s="113"/>
      <c r="BM22" s="113"/>
      <c r="BN22" s="113"/>
      <c r="BO22" s="113"/>
      <c r="BP22" s="114"/>
      <c r="BQ22" s="24" t="s">
        <v>23</v>
      </c>
      <c r="BR22" s="25"/>
      <c r="BS22" s="117"/>
      <c r="BT22" s="118"/>
      <c r="BU22" s="24" t="s">
        <v>26</v>
      </c>
      <c r="BV22" s="25"/>
    </row>
    <row r="23" spans="1:74" ht="12.75" customHeight="1" x14ac:dyDescent="0.15">
      <c r="A23" s="53" t="s">
        <v>27</v>
      </c>
      <c r="B23" s="1" t="s">
        <v>78</v>
      </c>
      <c r="C23" s="1"/>
      <c r="D23" s="1"/>
      <c r="E23" s="1"/>
      <c r="F23" s="1"/>
      <c r="G23" s="1"/>
      <c r="H23" s="1"/>
      <c r="I23" s="1"/>
      <c r="J23" s="1"/>
      <c r="K23" s="1"/>
      <c r="L23" s="45"/>
      <c r="M23" s="127"/>
      <c r="N23" s="128"/>
      <c r="O23" s="129"/>
      <c r="P23" s="130"/>
      <c r="Q23" s="129"/>
      <c r="R23" s="130"/>
      <c r="T23" s="53" t="s">
        <v>27</v>
      </c>
      <c r="U23" s="1" t="s">
        <v>78</v>
      </c>
      <c r="V23" s="1"/>
      <c r="W23" s="1"/>
      <c r="X23" s="1"/>
      <c r="Y23" s="1"/>
      <c r="Z23" s="1"/>
      <c r="AA23" s="1"/>
      <c r="AB23" s="1"/>
      <c r="AC23" s="1"/>
      <c r="AD23" s="1"/>
      <c r="AE23" s="45"/>
      <c r="AF23" s="131"/>
      <c r="AG23" s="132"/>
      <c r="AH23" s="129">
        <f>$O23</f>
        <v>0</v>
      </c>
      <c r="AI23" s="130"/>
      <c r="AJ23" s="129">
        <f>$Q23</f>
        <v>0</v>
      </c>
      <c r="AK23" s="130"/>
      <c r="AL23" s="53" t="s">
        <v>27</v>
      </c>
      <c r="AM23" s="1" t="s">
        <v>78</v>
      </c>
      <c r="AN23" s="1"/>
      <c r="AO23" s="1"/>
      <c r="AP23" s="1"/>
      <c r="AQ23" s="1"/>
      <c r="AR23" s="1"/>
      <c r="AS23" s="1"/>
      <c r="AT23" s="1"/>
      <c r="AU23" s="1"/>
      <c r="AV23" s="1"/>
      <c r="AW23" s="45"/>
      <c r="AX23" s="133"/>
      <c r="AY23" s="134"/>
      <c r="AZ23" s="135">
        <f>$O23</f>
        <v>0</v>
      </c>
      <c r="BA23" s="136"/>
      <c r="BB23" s="135">
        <f>$Q23</f>
        <v>0</v>
      </c>
      <c r="BC23" s="136"/>
      <c r="BE23" s="53" t="s">
        <v>27</v>
      </c>
      <c r="BF23" s="1" t="s">
        <v>78</v>
      </c>
      <c r="BG23" s="1"/>
      <c r="BH23" s="1"/>
      <c r="BI23" s="1"/>
      <c r="BJ23" s="1"/>
      <c r="BK23" s="1"/>
      <c r="BL23" s="1"/>
      <c r="BM23" s="1"/>
      <c r="BN23" s="1"/>
      <c r="BO23" s="1"/>
      <c r="BP23" s="45"/>
      <c r="BQ23" s="133"/>
      <c r="BR23" s="134"/>
      <c r="BS23" s="135">
        <f>$O23</f>
        <v>0</v>
      </c>
      <c r="BT23" s="136"/>
      <c r="BU23" s="135">
        <f>$Q23</f>
        <v>0</v>
      </c>
      <c r="BV23" s="136"/>
    </row>
    <row r="24" spans="1:74" ht="12.75" customHeight="1" x14ac:dyDescent="0.15">
      <c r="A24" s="54" t="s">
        <v>28</v>
      </c>
      <c r="B24" s="1" t="s">
        <v>77</v>
      </c>
      <c r="C24" s="1"/>
      <c r="D24" s="1"/>
      <c r="E24" s="1"/>
      <c r="F24" s="1"/>
      <c r="G24" s="1"/>
      <c r="H24" s="1"/>
      <c r="I24" s="1"/>
      <c r="J24" s="1"/>
      <c r="K24" s="1"/>
      <c r="L24" s="19"/>
      <c r="M24" s="119"/>
      <c r="N24" s="120"/>
      <c r="O24" s="121"/>
      <c r="P24" s="122"/>
      <c r="Q24" s="121"/>
      <c r="R24" s="122"/>
      <c r="T24" s="54" t="s">
        <v>28</v>
      </c>
      <c r="U24" s="1" t="s">
        <v>77</v>
      </c>
      <c r="V24" s="1"/>
      <c r="W24" s="1"/>
      <c r="X24" s="1"/>
      <c r="Y24" s="1"/>
      <c r="Z24" s="1"/>
      <c r="AA24" s="1"/>
      <c r="AB24" s="1"/>
      <c r="AC24" s="1"/>
      <c r="AD24" s="1"/>
      <c r="AE24" s="19"/>
      <c r="AF24" s="123"/>
      <c r="AG24" s="124"/>
      <c r="AH24" s="125">
        <f>$O24</f>
        <v>0</v>
      </c>
      <c r="AI24" s="126"/>
      <c r="AJ24" s="125">
        <f>$Q24</f>
        <v>0</v>
      </c>
      <c r="AK24" s="126"/>
      <c r="AL24" s="54" t="s">
        <v>28</v>
      </c>
      <c r="AM24" s="1" t="s">
        <v>77</v>
      </c>
      <c r="AN24" s="1"/>
      <c r="AO24" s="1"/>
      <c r="AP24" s="1"/>
      <c r="AQ24" s="1"/>
      <c r="AR24" s="1"/>
      <c r="AS24" s="1"/>
      <c r="AT24" s="1"/>
      <c r="AU24" s="1"/>
      <c r="AV24" s="1"/>
      <c r="AW24" s="19"/>
      <c r="AX24" s="123"/>
      <c r="AY24" s="124"/>
      <c r="AZ24" s="125">
        <f>$O24</f>
        <v>0</v>
      </c>
      <c r="BA24" s="126"/>
      <c r="BB24" s="125">
        <f>$Q24</f>
        <v>0</v>
      </c>
      <c r="BC24" s="126"/>
      <c r="BE24" s="54" t="s">
        <v>28</v>
      </c>
      <c r="BF24" s="1" t="s">
        <v>77</v>
      </c>
      <c r="BG24" s="1"/>
      <c r="BH24" s="1"/>
      <c r="BI24" s="1"/>
      <c r="BJ24" s="1"/>
      <c r="BK24" s="1"/>
      <c r="BL24" s="1"/>
      <c r="BM24" s="1"/>
      <c r="BN24" s="1"/>
      <c r="BO24" s="1"/>
      <c r="BP24" s="19"/>
      <c r="BQ24" s="123"/>
      <c r="BR24" s="124"/>
      <c r="BS24" s="125">
        <f>$O24</f>
        <v>0</v>
      </c>
      <c r="BT24" s="126"/>
      <c r="BU24" s="125">
        <f>$Q24</f>
        <v>0</v>
      </c>
      <c r="BV24" s="126"/>
    </row>
    <row r="25" spans="1:74" ht="12.75" customHeight="1" x14ac:dyDescent="0.15">
      <c r="A25" s="54" t="s">
        <v>29</v>
      </c>
      <c r="B25" s="1" t="s">
        <v>75</v>
      </c>
      <c r="C25" s="1"/>
      <c r="D25" s="1"/>
      <c r="E25" s="1"/>
      <c r="F25" s="1"/>
      <c r="G25" s="1"/>
      <c r="H25" s="1"/>
      <c r="I25" s="1"/>
      <c r="J25" s="1"/>
      <c r="K25" s="1"/>
      <c r="L25" s="19"/>
      <c r="M25" s="137"/>
      <c r="N25" s="120"/>
      <c r="O25" s="121"/>
      <c r="P25" s="122"/>
      <c r="Q25" s="121"/>
      <c r="R25" s="122"/>
      <c r="T25" s="54" t="s">
        <v>29</v>
      </c>
      <c r="U25" s="1" t="s">
        <v>75</v>
      </c>
      <c r="V25" s="1"/>
      <c r="W25" s="1"/>
      <c r="X25" s="1"/>
      <c r="Y25" s="1"/>
      <c r="Z25" s="1"/>
      <c r="AA25" s="1"/>
      <c r="AB25" s="1"/>
      <c r="AC25" s="1"/>
      <c r="AD25" s="1"/>
      <c r="AE25" s="19"/>
      <c r="AF25" s="123"/>
      <c r="AG25" s="124"/>
      <c r="AH25" s="125">
        <f>$O25</f>
        <v>0</v>
      </c>
      <c r="AI25" s="126"/>
      <c r="AJ25" s="125">
        <f>$Q25</f>
        <v>0</v>
      </c>
      <c r="AK25" s="126"/>
      <c r="AL25" s="54" t="s">
        <v>29</v>
      </c>
      <c r="AM25" s="1" t="s">
        <v>75</v>
      </c>
      <c r="AN25" s="1"/>
      <c r="AO25" s="1"/>
      <c r="AP25" s="1"/>
      <c r="AQ25" s="1"/>
      <c r="AR25" s="1"/>
      <c r="AS25" s="1"/>
      <c r="AT25" s="1"/>
      <c r="AU25" s="1"/>
      <c r="AV25" s="1"/>
      <c r="AW25" s="19"/>
      <c r="AX25" s="123"/>
      <c r="AY25" s="124"/>
      <c r="AZ25" s="125">
        <f>$O25</f>
        <v>0</v>
      </c>
      <c r="BA25" s="126"/>
      <c r="BB25" s="125">
        <f>$Q25</f>
        <v>0</v>
      </c>
      <c r="BC25" s="126"/>
      <c r="BE25" s="54" t="s">
        <v>29</v>
      </c>
      <c r="BF25" s="1" t="s">
        <v>75</v>
      </c>
      <c r="BG25" s="1"/>
      <c r="BH25" s="1"/>
      <c r="BI25" s="1"/>
      <c r="BJ25" s="1"/>
      <c r="BK25" s="1"/>
      <c r="BL25" s="1"/>
      <c r="BM25" s="1"/>
      <c r="BN25" s="1"/>
      <c r="BO25" s="1"/>
      <c r="BP25" s="19"/>
      <c r="BQ25" s="123"/>
      <c r="BR25" s="124"/>
      <c r="BS25" s="125">
        <f>$O25</f>
        <v>0</v>
      </c>
      <c r="BT25" s="126"/>
      <c r="BU25" s="125">
        <f>$Q25</f>
        <v>0</v>
      </c>
      <c r="BV25" s="126"/>
    </row>
    <row r="26" spans="1:74" ht="12.75" customHeight="1" x14ac:dyDescent="0.15">
      <c r="A26" s="54" t="s">
        <v>30</v>
      </c>
      <c r="B26" s="1" t="s">
        <v>76</v>
      </c>
      <c r="C26" s="1"/>
      <c r="D26" s="1"/>
      <c r="E26" s="1"/>
      <c r="F26" s="1"/>
      <c r="G26" s="1"/>
      <c r="H26" s="1"/>
      <c r="I26" s="1"/>
      <c r="J26" s="1"/>
      <c r="K26" s="1"/>
      <c r="L26" s="19"/>
      <c r="M26" s="119"/>
      <c r="N26" s="120"/>
      <c r="O26" s="121"/>
      <c r="P26" s="122"/>
      <c r="Q26" s="121"/>
      <c r="R26" s="122"/>
      <c r="T26" s="54" t="s">
        <v>30</v>
      </c>
      <c r="U26" s="1" t="s">
        <v>76</v>
      </c>
      <c r="V26" s="1"/>
      <c r="W26" s="1"/>
      <c r="X26" s="1"/>
      <c r="Y26" s="1"/>
      <c r="Z26" s="1"/>
      <c r="AA26" s="1"/>
      <c r="AB26" s="1"/>
      <c r="AC26" s="1"/>
      <c r="AD26" s="1"/>
      <c r="AE26" s="19"/>
      <c r="AF26" s="123"/>
      <c r="AG26" s="124"/>
      <c r="AH26" s="125">
        <f t="shared" ref="AH26:AH46" si="0">$O26</f>
        <v>0</v>
      </c>
      <c r="AI26" s="126"/>
      <c r="AJ26" s="125">
        <f t="shared" ref="AJ26:AJ46" si="1">$Q26</f>
        <v>0</v>
      </c>
      <c r="AK26" s="126"/>
      <c r="AL26" s="54" t="s">
        <v>30</v>
      </c>
      <c r="AM26" s="1" t="s">
        <v>76</v>
      </c>
      <c r="AN26" s="1"/>
      <c r="AO26" s="1"/>
      <c r="AP26" s="1"/>
      <c r="AQ26" s="1"/>
      <c r="AR26" s="1"/>
      <c r="AS26" s="1"/>
      <c r="AT26" s="1"/>
      <c r="AU26" s="1"/>
      <c r="AV26" s="1"/>
      <c r="AW26" s="19"/>
      <c r="AX26" s="123"/>
      <c r="AY26" s="124"/>
      <c r="AZ26" s="125">
        <f t="shared" ref="AZ26:AZ46" si="2">$O26</f>
        <v>0</v>
      </c>
      <c r="BA26" s="126"/>
      <c r="BB26" s="125">
        <f t="shared" ref="BB26:BB46" si="3">$Q26</f>
        <v>0</v>
      </c>
      <c r="BC26" s="126"/>
      <c r="BE26" s="54" t="s">
        <v>30</v>
      </c>
      <c r="BF26" s="1" t="s">
        <v>76</v>
      </c>
      <c r="BG26" s="1"/>
      <c r="BH26" s="1"/>
      <c r="BI26" s="1"/>
      <c r="BJ26" s="1"/>
      <c r="BK26" s="1"/>
      <c r="BL26" s="1"/>
      <c r="BM26" s="1"/>
      <c r="BN26" s="1"/>
      <c r="BO26" s="1"/>
      <c r="BP26" s="19"/>
      <c r="BQ26" s="123"/>
      <c r="BR26" s="124"/>
      <c r="BS26" s="125">
        <f t="shared" ref="BS26:BS46" si="4">$O26</f>
        <v>0</v>
      </c>
      <c r="BT26" s="126"/>
      <c r="BU26" s="125">
        <f t="shared" ref="BU26:BU46" si="5">$Q26</f>
        <v>0</v>
      </c>
      <c r="BV26" s="126"/>
    </row>
    <row r="27" spans="1:74" ht="12.75" customHeight="1" x14ac:dyDescent="0.15">
      <c r="A27" s="54"/>
      <c r="B27" s="1" t="s">
        <v>74</v>
      </c>
      <c r="C27" s="1"/>
      <c r="D27" s="1"/>
      <c r="E27" s="1"/>
      <c r="F27" s="1"/>
      <c r="G27" s="1"/>
      <c r="H27" s="1"/>
      <c r="I27" s="1"/>
      <c r="J27" s="1"/>
      <c r="K27" s="1"/>
      <c r="L27" s="19"/>
      <c r="M27" s="119"/>
      <c r="N27" s="120"/>
      <c r="O27" s="121"/>
      <c r="P27" s="122"/>
      <c r="Q27" s="121"/>
      <c r="R27" s="122"/>
      <c r="T27" s="54"/>
      <c r="U27" s="1" t="s">
        <v>74</v>
      </c>
      <c r="V27" s="1"/>
      <c r="W27" s="1"/>
      <c r="X27" s="1"/>
      <c r="Y27" s="1"/>
      <c r="Z27" s="1"/>
      <c r="AA27" s="1"/>
      <c r="AB27" s="1"/>
      <c r="AC27" s="1"/>
      <c r="AD27" s="1"/>
      <c r="AE27" s="19"/>
      <c r="AF27" s="123"/>
      <c r="AG27" s="124"/>
      <c r="AH27" s="125">
        <f t="shared" si="0"/>
        <v>0</v>
      </c>
      <c r="AI27" s="126"/>
      <c r="AJ27" s="125">
        <f t="shared" si="1"/>
        <v>0</v>
      </c>
      <c r="AK27" s="126"/>
      <c r="AL27" s="54"/>
      <c r="AM27" s="1" t="s">
        <v>74</v>
      </c>
      <c r="AN27" s="1"/>
      <c r="AO27" s="1"/>
      <c r="AP27" s="1"/>
      <c r="AQ27" s="1"/>
      <c r="AR27" s="1"/>
      <c r="AS27" s="1"/>
      <c r="AT27" s="1"/>
      <c r="AU27" s="1"/>
      <c r="AV27" s="1"/>
      <c r="AW27" s="19"/>
      <c r="AX27" s="123"/>
      <c r="AY27" s="124"/>
      <c r="AZ27" s="125">
        <f t="shared" si="2"/>
        <v>0</v>
      </c>
      <c r="BA27" s="126"/>
      <c r="BB27" s="125">
        <f t="shared" si="3"/>
        <v>0</v>
      </c>
      <c r="BC27" s="126"/>
      <c r="BE27" s="54"/>
      <c r="BF27" s="1" t="s">
        <v>74</v>
      </c>
      <c r="BG27" s="1"/>
      <c r="BH27" s="1"/>
      <c r="BI27" s="1"/>
      <c r="BJ27" s="1"/>
      <c r="BK27" s="1"/>
      <c r="BL27" s="1"/>
      <c r="BM27" s="1"/>
      <c r="BN27" s="1"/>
      <c r="BO27" s="1"/>
      <c r="BP27" s="19"/>
      <c r="BQ27" s="123"/>
      <c r="BR27" s="124"/>
      <c r="BS27" s="125">
        <f t="shared" si="4"/>
        <v>0</v>
      </c>
      <c r="BT27" s="126"/>
      <c r="BU27" s="125">
        <f t="shared" si="5"/>
        <v>0</v>
      </c>
      <c r="BV27" s="126"/>
    </row>
    <row r="28" spans="1:74" ht="12.75" customHeight="1" x14ac:dyDescent="0.15">
      <c r="A28" s="54"/>
      <c r="B28" s="1"/>
      <c r="C28" s="1" t="s">
        <v>37</v>
      </c>
      <c r="D28" s="1"/>
      <c r="E28" s="1"/>
      <c r="F28" s="1"/>
      <c r="G28" s="1"/>
      <c r="H28" s="1"/>
      <c r="I28" s="1"/>
      <c r="J28" s="1"/>
      <c r="K28" s="1"/>
      <c r="L28" s="19"/>
      <c r="M28" s="119"/>
      <c r="N28" s="120"/>
      <c r="O28" s="121"/>
      <c r="P28" s="122"/>
      <c r="Q28" s="121"/>
      <c r="R28" s="122"/>
      <c r="T28" s="54"/>
      <c r="U28" s="1"/>
      <c r="V28" s="1" t="s">
        <v>37</v>
      </c>
      <c r="W28" s="1"/>
      <c r="X28" s="1"/>
      <c r="Y28" s="1"/>
      <c r="Z28" s="1"/>
      <c r="AA28" s="1"/>
      <c r="AB28" s="1"/>
      <c r="AC28" s="1"/>
      <c r="AD28" s="1"/>
      <c r="AE28" s="19"/>
      <c r="AF28" s="123"/>
      <c r="AG28" s="124"/>
      <c r="AH28" s="125">
        <f t="shared" si="0"/>
        <v>0</v>
      </c>
      <c r="AI28" s="126"/>
      <c r="AJ28" s="125">
        <f t="shared" si="1"/>
        <v>0</v>
      </c>
      <c r="AK28" s="126"/>
      <c r="AL28" s="54"/>
      <c r="AM28" s="1"/>
      <c r="AN28" s="1" t="s">
        <v>37</v>
      </c>
      <c r="AO28" s="1"/>
      <c r="AP28" s="1"/>
      <c r="AQ28" s="1"/>
      <c r="AR28" s="1"/>
      <c r="AS28" s="1"/>
      <c r="AT28" s="1"/>
      <c r="AU28" s="1"/>
      <c r="AV28" s="1"/>
      <c r="AW28" s="19"/>
      <c r="AX28" s="123"/>
      <c r="AY28" s="124"/>
      <c r="AZ28" s="125">
        <f t="shared" si="2"/>
        <v>0</v>
      </c>
      <c r="BA28" s="126"/>
      <c r="BB28" s="125">
        <f t="shared" si="3"/>
        <v>0</v>
      </c>
      <c r="BC28" s="126"/>
      <c r="BE28" s="54"/>
      <c r="BF28" s="1"/>
      <c r="BG28" s="1" t="s">
        <v>37</v>
      </c>
      <c r="BH28" s="1"/>
      <c r="BI28" s="1"/>
      <c r="BJ28" s="1"/>
      <c r="BK28" s="1"/>
      <c r="BL28" s="1"/>
      <c r="BM28" s="1"/>
      <c r="BN28" s="1"/>
      <c r="BO28" s="1"/>
      <c r="BP28" s="19"/>
      <c r="BQ28" s="123"/>
      <c r="BR28" s="124"/>
      <c r="BS28" s="125">
        <f t="shared" si="4"/>
        <v>0</v>
      </c>
      <c r="BT28" s="126"/>
      <c r="BU28" s="125">
        <f t="shared" si="5"/>
        <v>0</v>
      </c>
      <c r="BV28" s="126"/>
    </row>
    <row r="29" spans="1:74" ht="12.75" customHeight="1" x14ac:dyDescent="0.15">
      <c r="A29" s="54"/>
      <c r="B29" s="1"/>
      <c r="C29" s="1" t="s">
        <v>31</v>
      </c>
      <c r="D29" s="1"/>
      <c r="E29" s="1"/>
      <c r="F29" s="1"/>
      <c r="G29" s="1"/>
      <c r="H29" s="1"/>
      <c r="I29" s="1"/>
      <c r="J29" s="1"/>
      <c r="K29" s="1"/>
      <c r="L29" s="19"/>
      <c r="M29" s="119"/>
      <c r="N29" s="120"/>
      <c r="O29" s="121"/>
      <c r="P29" s="122"/>
      <c r="Q29" s="121"/>
      <c r="R29" s="122"/>
      <c r="T29" s="54"/>
      <c r="U29" s="1"/>
      <c r="V29" s="1" t="s">
        <v>31</v>
      </c>
      <c r="W29" s="1"/>
      <c r="X29" s="1"/>
      <c r="Y29" s="1"/>
      <c r="Z29" s="1"/>
      <c r="AA29" s="1"/>
      <c r="AB29" s="1"/>
      <c r="AC29" s="1"/>
      <c r="AD29" s="1"/>
      <c r="AE29" s="19"/>
      <c r="AF29" s="123"/>
      <c r="AG29" s="124"/>
      <c r="AH29" s="125">
        <f t="shared" si="0"/>
        <v>0</v>
      </c>
      <c r="AI29" s="126"/>
      <c r="AJ29" s="125">
        <f t="shared" si="1"/>
        <v>0</v>
      </c>
      <c r="AK29" s="126"/>
      <c r="AL29" s="54"/>
      <c r="AM29" s="1"/>
      <c r="AN29" s="1" t="s">
        <v>31</v>
      </c>
      <c r="AO29" s="1"/>
      <c r="AP29" s="1"/>
      <c r="AQ29" s="1"/>
      <c r="AR29" s="1"/>
      <c r="AS29" s="1"/>
      <c r="AT29" s="1"/>
      <c r="AU29" s="1"/>
      <c r="AV29" s="1"/>
      <c r="AW29" s="19"/>
      <c r="AX29" s="123"/>
      <c r="AY29" s="124"/>
      <c r="AZ29" s="125">
        <f t="shared" si="2"/>
        <v>0</v>
      </c>
      <c r="BA29" s="126"/>
      <c r="BB29" s="125">
        <f t="shared" si="3"/>
        <v>0</v>
      </c>
      <c r="BC29" s="126"/>
      <c r="BE29" s="54"/>
      <c r="BF29" s="1"/>
      <c r="BG29" s="1" t="s">
        <v>31</v>
      </c>
      <c r="BH29" s="1"/>
      <c r="BI29" s="1"/>
      <c r="BJ29" s="1"/>
      <c r="BK29" s="1"/>
      <c r="BL29" s="1"/>
      <c r="BM29" s="1"/>
      <c r="BN29" s="1"/>
      <c r="BO29" s="1"/>
      <c r="BP29" s="19"/>
      <c r="BQ29" s="123"/>
      <c r="BR29" s="124"/>
      <c r="BS29" s="125">
        <f t="shared" si="4"/>
        <v>0</v>
      </c>
      <c r="BT29" s="126"/>
      <c r="BU29" s="125">
        <f t="shared" si="5"/>
        <v>0</v>
      </c>
      <c r="BV29" s="126"/>
    </row>
    <row r="30" spans="1:74" ht="12.75" customHeight="1" x14ac:dyDescent="0.15">
      <c r="A30" s="54"/>
      <c r="B30" s="1"/>
      <c r="C30" s="1"/>
      <c r="D30" s="1" t="s">
        <v>32</v>
      </c>
      <c r="E30" s="1"/>
      <c r="F30" s="1"/>
      <c r="G30" s="1"/>
      <c r="H30" s="1"/>
      <c r="I30" s="1"/>
      <c r="J30" s="1"/>
      <c r="K30" s="1"/>
      <c r="L30" s="19"/>
      <c r="M30" s="119"/>
      <c r="N30" s="120"/>
      <c r="O30" s="121"/>
      <c r="P30" s="122"/>
      <c r="Q30" s="121"/>
      <c r="R30" s="122"/>
      <c r="T30" s="54"/>
      <c r="U30" s="1"/>
      <c r="V30" s="1"/>
      <c r="W30" s="1" t="s">
        <v>32</v>
      </c>
      <c r="X30" s="1"/>
      <c r="Y30" s="1"/>
      <c r="Z30" s="1"/>
      <c r="AA30" s="1"/>
      <c r="AB30" s="1"/>
      <c r="AC30" s="1"/>
      <c r="AD30" s="1"/>
      <c r="AE30" s="19"/>
      <c r="AF30" s="123"/>
      <c r="AG30" s="124"/>
      <c r="AH30" s="125">
        <f t="shared" si="0"/>
        <v>0</v>
      </c>
      <c r="AI30" s="126"/>
      <c r="AJ30" s="125">
        <f t="shared" si="1"/>
        <v>0</v>
      </c>
      <c r="AK30" s="126"/>
      <c r="AL30" s="54"/>
      <c r="AM30" s="1"/>
      <c r="AN30" s="1"/>
      <c r="AO30" s="1" t="s">
        <v>32</v>
      </c>
      <c r="AP30" s="1"/>
      <c r="AQ30" s="1"/>
      <c r="AR30" s="1"/>
      <c r="AS30" s="1"/>
      <c r="AT30" s="1"/>
      <c r="AU30" s="1"/>
      <c r="AV30" s="1"/>
      <c r="AW30" s="19"/>
      <c r="AX30" s="123"/>
      <c r="AY30" s="124"/>
      <c r="AZ30" s="125">
        <f t="shared" si="2"/>
        <v>0</v>
      </c>
      <c r="BA30" s="126"/>
      <c r="BB30" s="125">
        <f t="shared" si="3"/>
        <v>0</v>
      </c>
      <c r="BC30" s="126"/>
      <c r="BE30" s="54"/>
      <c r="BF30" s="1"/>
      <c r="BG30" s="1"/>
      <c r="BH30" s="1" t="s">
        <v>32</v>
      </c>
      <c r="BI30" s="1"/>
      <c r="BJ30" s="1"/>
      <c r="BK30" s="1"/>
      <c r="BL30" s="1"/>
      <c r="BM30" s="1"/>
      <c r="BN30" s="1"/>
      <c r="BO30" s="1"/>
      <c r="BP30" s="19"/>
      <c r="BQ30" s="123"/>
      <c r="BR30" s="124"/>
      <c r="BS30" s="125">
        <f t="shared" si="4"/>
        <v>0</v>
      </c>
      <c r="BT30" s="126"/>
      <c r="BU30" s="125">
        <f t="shared" si="5"/>
        <v>0</v>
      </c>
      <c r="BV30" s="126"/>
    </row>
    <row r="31" spans="1:74" ht="12.75" customHeight="1" x14ac:dyDescent="0.15">
      <c r="A31" s="54"/>
      <c r="B31" s="1"/>
      <c r="C31" s="1"/>
      <c r="D31" s="1" t="s">
        <v>33</v>
      </c>
      <c r="E31" s="1"/>
      <c r="F31" s="1"/>
      <c r="G31" s="1"/>
      <c r="H31" s="1"/>
      <c r="I31" s="1"/>
      <c r="J31" s="1"/>
      <c r="K31" s="1"/>
      <c r="L31" s="19"/>
      <c r="M31" s="119"/>
      <c r="N31" s="120"/>
      <c r="O31" s="121"/>
      <c r="P31" s="122"/>
      <c r="Q31" s="121"/>
      <c r="R31" s="122"/>
      <c r="T31" s="54"/>
      <c r="U31" s="1"/>
      <c r="V31" s="1"/>
      <c r="W31" s="1" t="s">
        <v>33</v>
      </c>
      <c r="X31" s="1"/>
      <c r="Y31" s="1"/>
      <c r="Z31" s="1"/>
      <c r="AA31" s="1"/>
      <c r="AB31" s="1"/>
      <c r="AC31" s="1"/>
      <c r="AD31" s="1"/>
      <c r="AE31" s="19"/>
      <c r="AF31" s="123"/>
      <c r="AG31" s="124"/>
      <c r="AH31" s="125">
        <f t="shared" si="0"/>
        <v>0</v>
      </c>
      <c r="AI31" s="126"/>
      <c r="AJ31" s="125">
        <f t="shared" si="1"/>
        <v>0</v>
      </c>
      <c r="AK31" s="126"/>
      <c r="AL31" s="54"/>
      <c r="AM31" s="1"/>
      <c r="AN31" s="1"/>
      <c r="AO31" s="1" t="s">
        <v>33</v>
      </c>
      <c r="AP31" s="1"/>
      <c r="AQ31" s="1"/>
      <c r="AR31" s="1"/>
      <c r="AS31" s="1"/>
      <c r="AT31" s="1"/>
      <c r="AU31" s="1"/>
      <c r="AV31" s="1"/>
      <c r="AW31" s="19"/>
      <c r="AX31" s="123"/>
      <c r="AY31" s="124"/>
      <c r="AZ31" s="125">
        <f t="shared" si="2"/>
        <v>0</v>
      </c>
      <c r="BA31" s="126"/>
      <c r="BB31" s="125">
        <f t="shared" si="3"/>
        <v>0</v>
      </c>
      <c r="BC31" s="126"/>
      <c r="BE31" s="54"/>
      <c r="BF31" s="1"/>
      <c r="BG31" s="1"/>
      <c r="BH31" s="1" t="s">
        <v>33</v>
      </c>
      <c r="BI31" s="1"/>
      <c r="BJ31" s="1"/>
      <c r="BK31" s="1"/>
      <c r="BL31" s="1"/>
      <c r="BM31" s="1"/>
      <c r="BN31" s="1"/>
      <c r="BO31" s="1"/>
      <c r="BP31" s="19"/>
      <c r="BQ31" s="123"/>
      <c r="BR31" s="124"/>
      <c r="BS31" s="125">
        <f t="shared" si="4"/>
        <v>0</v>
      </c>
      <c r="BT31" s="126"/>
      <c r="BU31" s="125">
        <f t="shared" si="5"/>
        <v>0</v>
      </c>
      <c r="BV31" s="126"/>
    </row>
    <row r="32" spans="1:74" ht="12.75" customHeight="1" x14ac:dyDescent="0.15">
      <c r="A32" s="54"/>
      <c r="B32" s="1"/>
      <c r="C32" s="1"/>
      <c r="D32" s="1" t="s">
        <v>34</v>
      </c>
      <c r="E32" s="1"/>
      <c r="F32" s="1"/>
      <c r="G32" s="1"/>
      <c r="H32" s="1"/>
      <c r="I32" s="1"/>
      <c r="J32" s="1"/>
      <c r="K32" s="1"/>
      <c r="L32" s="19"/>
      <c r="M32" s="119"/>
      <c r="N32" s="120"/>
      <c r="O32" s="121"/>
      <c r="P32" s="122"/>
      <c r="Q32" s="121"/>
      <c r="R32" s="122"/>
      <c r="T32" s="54"/>
      <c r="U32" s="1"/>
      <c r="V32" s="1"/>
      <c r="W32" s="1" t="s">
        <v>34</v>
      </c>
      <c r="X32" s="1"/>
      <c r="Y32" s="1"/>
      <c r="Z32" s="1"/>
      <c r="AA32" s="1"/>
      <c r="AB32" s="1"/>
      <c r="AC32" s="1"/>
      <c r="AD32" s="1"/>
      <c r="AE32" s="19"/>
      <c r="AF32" s="123"/>
      <c r="AG32" s="124"/>
      <c r="AH32" s="125">
        <f t="shared" si="0"/>
        <v>0</v>
      </c>
      <c r="AI32" s="126"/>
      <c r="AJ32" s="125">
        <f t="shared" si="1"/>
        <v>0</v>
      </c>
      <c r="AK32" s="126"/>
      <c r="AL32" s="54"/>
      <c r="AM32" s="1"/>
      <c r="AN32" s="1"/>
      <c r="AO32" s="1" t="s">
        <v>34</v>
      </c>
      <c r="AP32" s="1"/>
      <c r="AQ32" s="1"/>
      <c r="AR32" s="1"/>
      <c r="AS32" s="1"/>
      <c r="AT32" s="1"/>
      <c r="AU32" s="1"/>
      <c r="AV32" s="1"/>
      <c r="AW32" s="19"/>
      <c r="AX32" s="123"/>
      <c r="AY32" s="124"/>
      <c r="AZ32" s="125">
        <f t="shared" si="2"/>
        <v>0</v>
      </c>
      <c r="BA32" s="126"/>
      <c r="BB32" s="125">
        <f t="shared" si="3"/>
        <v>0</v>
      </c>
      <c r="BC32" s="126"/>
      <c r="BE32" s="54"/>
      <c r="BF32" s="1"/>
      <c r="BG32" s="1"/>
      <c r="BH32" s="1" t="s">
        <v>34</v>
      </c>
      <c r="BI32" s="1"/>
      <c r="BJ32" s="1"/>
      <c r="BK32" s="1"/>
      <c r="BL32" s="1"/>
      <c r="BM32" s="1"/>
      <c r="BN32" s="1"/>
      <c r="BO32" s="1"/>
      <c r="BP32" s="19"/>
      <c r="BQ32" s="123"/>
      <c r="BR32" s="124"/>
      <c r="BS32" s="125">
        <f t="shared" si="4"/>
        <v>0</v>
      </c>
      <c r="BT32" s="126"/>
      <c r="BU32" s="125">
        <f t="shared" si="5"/>
        <v>0</v>
      </c>
      <c r="BV32" s="126"/>
    </row>
    <row r="33" spans="1:74" ht="12.75" customHeight="1" x14ac:dyDescent="0.15">
      <c r="A33" s="54"/>
      <c r="B33" s="1"/>
      <c r="C33" s="1"/>
      <c r="D33" s="1" t="s">
        <v>35</v>
      </c>
      <c r="E33" s="1"/>
      <c r="F33" s="1"/>
      <c r="G33" s="46"/>
      <c r="H33" s="46"/>
      <c r="I33" s="1" t="s">
        <v>69</v>
      </c>
      <c r="J33" s="1"/>
      <c r="K33" s="1"/>
      <c r="L33" s="19"/>
      <c r="M33" s="119"/>
      <c r="N33" s="120"/>
      <c r="O33" s="121"/>
      <c r="P33" s="122"/>
      <c r="Q33" s="121"/>
      <c r="R33" s="122"/>
      <c r="T33" s="54"/>
      <c r="U33" s="1"/>
      <c r="V33" s="1"/>
      <c r="W33" s="1" t="s">
        <v>35</v>
      </c>
      <c r="X33" s="1"/>
      <c r="Y33" s="1"/>
      <c r="Z33" s="46"/>
      <c r="AA33" s="46"/>
      <c r="AB33" s="1" t="s">
        <v>69</v>
      </c>
      <c r="AC33" s="1"/>
      <c r="AD33" s="1"/>
      <c r="AE33" s="19"/>
      <c r="AF33" s="123"/>
      <c r="AG33" s="124"/>
      <c r="AH33" s="125">
        <f t="shared" si="0"/>
        <v>0</v>
      </c>
      <c r="AI33" s="126"/>
      <c r="AJ33" s="125">
        <f t="shared" si="1"/>
        <v>0</v>
      </c>
      <c r="AK33" s="126"/>
      <c r="AL33" s="54"/>
      <c r="AM33" s="1"/>
      <c r="AN33" s="1"/>
      <c r="AO33" s="1" t="s">
        <v>35</v>
      </c>
      <c r="AP33" s="1"/>
      <c r="AQ33" s="1"/>
      <c r="AR33" s="46"/>
      <c r="AS33" s="46"/>
      <c r="AT33" s="1" t="s">
        <v>69</v>
      </c>
      <c r="AU33" s="1"/>
      <c r="AV33" s="1"/>
      <c r="AW33" s="19"/>
      <c r="AX33" s="123"/>
      <c r="AY33" s="124"/>
      <c r="AZ33" s="125">
        <f t="shared" si="2"/>
        <v>0</v>
      </c>
      <c r="BA33" s="126"/>
      <c r="BB33" s="125">
        <f t="shared" si="3"/>
        <v>0</v>
      </c>
      <c r="BC33" s="126"/>
      <c r="BE33" s="54"/>
      <c r="BF33" s="1"/>
      <c r="BG33" s="1"/>
      <c r="BH33" s="1" t="s">
        <v>35</v>
      </c>
      <c r="BI33" s="1"/>
      <c r="BJ33" s="1"/>
      <c r="BK33" s="46"/>
      <c r="BL33" s="46"/>
      <c r="BM33" s="1" t="s">
        <v>69</v>
      </c>
      <c r="BN33" s="1"/>
      <c r="BO33" s="1"/>
      <c r="BP33" s="19"/>
      <c r="BQ33" s="123"/>
      <c r="BR33" s="124"/>
      <c r="BS33" s="125">
        <f t="shared" si="4"/>
        <v>0</v>
      </c>
      <c r="BT33" s="126"/>
      <c r="BU33" s="125">
        <f t="shared" si="5"/>
        <v>0</v>
      </c>
      <c r="BV33" s="126"/>
    </row>
    <row r="34" spans="1:74" ht="12.75" customHeight="1" x14ac:dyDescent="0.15">
      <c r="A34" s="54"/>
      <c r="B34" s="1"/>
      <c r="C34" s="1" t="s">
        <v>36</v>
      </c>
      <c r="D34" s="1"/>
      <c r="E34" s="1"/>
      <c r="F34" s="1"/>
      <c r="G34" s="1"/>
      <c r="H34" s="1"/>
      <c r="I34" s="1"/>
      <c r="J34" s="1"/>
      <c r="K34" s="1"/>
      <c r="L34" s="19"/>
      <c r="M34" s="119"/>
      <c r="N34" s="120"/>
      <c r="O34" s="121"/>
      <c r="P34" s="122"/>
      <c r="Q34" s="121"/>
      <c r="R34" s="122"/>
      <c r="T34" s="54"/>
      <c r="U34" s="1"/>
      <c r="V34" s="1" t="s">
        <v>36</v>
      </c>
      <c r="W34" s="1"/>
      <c r="X34" s="1"/>
      <c r="Y34" s="1"/>
      <c r="Z34" s="1"/>
      <c r="AA34" s="1"/>
      <c r="AB34" s="1"/>
      <c r="AC34" s="1"/>
      <c r="AD34" s="1"/>
      <c r="AE34" s="19"/>
      <c r="AF34" s="123"/>
      <c r="AG34" s="124"/>
      <c r="AH34" s="125">
        <f t="shared" si="0"/>
        <v>0</v>
      </c>
      <c r="AI34" s="126"/>
      <c r="AJ34" s="125">
        <f t="shared" si="1"/>
        <v>0</v>
      </c>
      <c r="AK34" s="126"/>
      <c r="AL34" s="54"/>
      <c r="AM34" s="1"/>
      <c r="AN34" s="1" t="s">
        <v>36</v>
      </c>
      <c r="AO34" s="1"/>
      <c r="AP34" s="1"/>
      <c r="AQ34" s="1"/>
      <c r="AR34" s="1"/>
      <c r="AS34" s="1"/>
      <c r="AT34" s="1"/>
      <c r="AU34" s="1"/>
      <c r="AV34" s="1"/>
      <c r="AW34" s="19"/>
      <c r="AX34" s="123"/>
      <c r="AY34" s="124"/>
      <c r="AZ34" s="125">
        <f t="shared" si="2"/>
        <v>0</v>
      </c>
      <c r="BA34" s="126"/>
      <c r="BB34" s="125">
        <f t="shared" si="3"/>
        <v>0</v>
      </c>
      <c r="BC34" s="126"/>
      <c r="BE34" s="54"/>
      <c r="BF34" s="1"/>
      <c r="BG34" s="1" t="s">
        <v>36</v>
      </c>
      <c r="BH34" s="1"/>
      <c r="BI34" s="1"/>
      <c r="BJ34" s="1"/>
      <c r="BK34" s="1"/>
      <c r="BL34" s="1"/>
      <c r="BM34" s="1"/>
      <c r="BN34" s="1"/>
      <c r="BO34" s="1"/>
      <c r="BP34" s="19"/>
      <c r="BQ34" s="123"/>
      <c r="BR34" s="124"/>
      <c r="BS34" s="125">
        <f t="shared" si="4"/>
        <v>0</v>
      </c>
      <c r="BT34" s="126"/>
      <c r="BU34" s="125">
        <f t="shared" si="5"/>
        <v>0</v>
      </c>
      <c r="BV34" s="126"/>
    </row>
    <row r="35" spans="1:74" ht="12.75" customHeight="1" x14ac:dyDescent="0.15">
      <c r="A35" s="54"/>
      <c r="B35" s="1"/>
      <c r="C35" s="1"/>
      <c r="D35" s="1" t="s">
        <v>38</v>
      </c>
      <c r="E35" s="1"/>
      <c r="F35" s="1"/>
      <c r="G35" s="1"/>
      <c r="H35" s="1"/>
      <c r="I35" s="1"/>
      <c r="J35" s="1"/>
      <c r="K35" s="1"/>
      <c r="L35" s="19"/>
      <c r="M35" s="119"/>
      <c r="N35" s="120"/>
      <c r="O35" s="121"/>
      <c r="P35" s="122"/>
      <c r="Q35" s="121"/>
      <c r="R35" s="122"/>
      <c r="T35" s="54"/>
      <c r="U35" s="1"/>
      <c r="V35" s="1"/>
      <c r="W35" s="1" t="s">
        <v>38</v>
      </c>
      <c r="X35" s="1"/>
      <c r="Y35" s="1"/>
      <c r="Z35" s="1"/>
      <c r="AA35" s="1"/>
      <c r="AB35" s="1"/>
      <c r="AC35" s="1"/>
      <c r="AD35" s="1"/>
      <c r="AE35" s="19"/>
      <c r="AF35" s="123"/>
      <c r="AG35" s="124"/>
      <c r="AH35" s="125">
        <f t="shared" si="0"/>
        <v>0</v>
      </c>
      <c r="AI35" s="126"/>
      <c r="AJ35" s="125">
        <f t="shared" si="1"/>
        <v>0</v>
      </c>
      <c r="AK35" s="126"/>
      <c r="AL35" s="54"/>
      <c r="AM35" s="1"/>
      <c r="AN35" s="1"/>
      <c r="AO35" s="1" t="s">
        <v>38</v>
      </c>
      <c r="AP35" s="1"/>
      <c r="AQ35" s="1"/>
      <c r="AR35" s="1"/>
      <c r="AS35" s="1"/>
      <c r="AT35" s="1"/>
      <c r="AU35" s="1"/>
      <c r="AV35" s="1"/>
      <c r="AW35" s="19"/>
      <c r="AX35" s="123"/>
      <c r="AY35" s="124"/>
      <c r="AZ35" s="125">
        <f t="shared" si="2"/>
        <v>0</v>
      </c>
      <c r="BA35" s="126"/>
      <c r="BB35" s="125">
        <f t="shared" si="3"/>
        <v>0</v>
      </c>
      <c r="BC35" s="126"/>
      <c r="BE35" s="54"/>
      <c r="BF35" s="1"/>
      <c r="BG35" s="1"/>
      <c r="BH35" s="1" t="s">
        <v>38</v>
      </c>
      <c r="BI35" s="1"/>
      <c r="BJ35" s="1"/>
      <c r="BK35" s="1"/>
      <c r="BL35" s="1"/>
      <c r="BM35" s="1"/>
      <c r="BN35" s="1"/>
      <c r="BO35" s="1"/>
      <c r="BP35" s="19"/>
      <c r="BQ35" s="123"/>
      <c r="BR35" s="124"/>
      <c r="BS35" s="125">
        <f t="shared" si="4"/>
        <v>0</v>
      </c>
      <c r="BT35" s="126"/>
      <c r="BU35" s="125">
        <f t="shared" si="5"/>
        <v>0</v>
      </c>
      <c r="BV35" s="126"/>
    </row>
    <row r="36" spans="1:74" ht="12.75" customHeight="1" x14ac:dyDescent="0.15">
      <c r="A36" s="54"/>
      <c r="B36" s="1"/>
      <c r="C36" s="1"/>
      <c r="D36" s="1" t="s">
        <v>39</v>
      </c>
      <c r="E36" s="1"/>
      <c r="F36" s="1"/>
      <c r="G36" s="1"/>
      <c r="H36" s="1"/>
      <c r="I36" s="1"/>
      <c r="J36" s="1"/>
      <c r="K36" s="1"/>
      <c r="L36" s="19"/>
      <c r="M36" s="119"/>
      <c r="N36" s="120"/>
      <c r="O36" s="121"/>
      <c r="P36" s="122"/>
      <c r="Q36" s="121"/>
      <c r="R36" s="122"/>
      <c r="T36" s="54"/>
      <c r="U36" s="1"/>
      <c r="V36" s="1"/>
      <c r="W36" s="1" t="s">
        <v>39</v>
      </c>
      <c r="X36" s="1"/>
      <c r="Y36" s="1"/>
      <c r="Z36" s="1"/>
      <c r="AA36" s="1"/>
      <c r="AB36" s="1"/>
      <c r="AC36" s="1"/>
      <c r="AD36" s="1"/>
      <c r="AE36" s="19"/>
      <c r="AF36" s="123"/>
      <c r="AG36" s="124"/>
      <c r="AH36" s="125">
        <f t="shared" si="0"/>
        <v>0</v>
      </c>
      <c r="AI36" s="126"/>
      <c r="AJ36" s="125">
        <f t="shared" si="1"/>
        <v>0</v>
      </c>
      <c r="AK36" s="126"/>
      <c r="AL36" s="54"/>
      <c r="AM36" s="1"/>
      <c r="AN36" s="1"/>
      <c r="AO36" s="1" t="s">
        <v>39</v>
      </c>
      <c r="AP36" s="1"/>
      <c r="AQ36" s="1"/>
      <c r="AR36" s="1"/>
      <c r="AS36" s="1"/>
      <c r="AT36" s="1"/>
      <c r="AU36" s="1"/>
      <c r="AV36" s="1"/>
      <c r="AW36" s="19"/>
      <c r="AX36" s="123"/>
      <c r="AY36" s="124"/>
      <c r="AZ36" s="125">
        <f t="shared" si="2"/>
        <v>0</v>
      </c>
      <c r="BA36" s="126"/>
      <c r="BB36" s="125">
        <f t="shared" si="3"/>
        <v>0</v>
      </c>
      <c r="BC36" s="126"/>
      <c r="BE36" s="54"/>
      <c r="BF36" s="1"/>
      <c r="BG36" s="1"/>
      <c r="BH36" s="1" t="s">
        <v>39</v>
      </c>
      <c r="BI36" s="1"/>
      <c r="BJ36" s="1"/>
      <c r="BK36" s="1"/>
      <c r="BL36" s="1"/>
      <c r="BM36" s="1"/>
      <c r="BN36" s="1"/>
      <c r="BO36" s="1"/>
      <c r="BP36" s="19"/>
      <c r="BQ36" s="123"/>
      <c r="BR36" s="124"/>
      <c r="BS36" s="125">
        <f t="shared" si="4"/>
        <v>0</v>
      </c>
      <c r="BT36" s="126"/>
      <c r="BU36" s="125">
        <f t="shared" si="5"/>
        <v>0</v>
      </c>
      <c r="BV36" s="126"/>
    </row>
    <row r="37" spans="1:74" ht="12.75" customHeight="1" x14ac:dyDescent="0.15">
      <c r="A37" s="54"/>
      <c r="B37" s="1"/>
      <c r="C37" s="1"/>
      <c r="D37" s="1"/>
      <c r="E37" s="1" t="s">
        <v>43</v>
      </c>
      <c r="F37" s="1"/>
      <c r="G37" s="1"/>
      <c r="H37" s="1"/>
      <c r="I37" s="1"/>
      <c r="J37" s="1"/>
      <c r="K37" s="1"/>
      <c r="L37" s="19"/>
      <c r="M37" s="119"/>
      <c r="N37" s="120"/>
      <c r="O37" s="121"/>
      <c r="P37" s="122"/>
      <c r="Q37" s="121"/>
      <c r="R37" s="122"/>
      <c r="T37" s="54"/>
      <c r="U37" s="1"/>
      <c r="V37" s="1"/>
      <c r="W37" s="1"/>
      <c r="X37" s="1" t="s">
        <v>43</v>
      </c>
      <c r="Y37" s="1"/>
      <c r="Z37" s="1"/>
      <c r="AA37" s="1"/>
      <c r="AB37" s="1"/>
      <c r="AC37" s="1"/>
      <c r="AD37" s="1"/>
      <c r="AE37" s="19"/>
      <c r="AF37" s="123"/>
      <c r="AG37" s="124"/>
      <c r="AH37" s="125">
        <f t="shared" si="0"/>
        <v>0</v>
      </c>
      <c r="AI37" s="126"/>
      <c r="AJ37" s="125">
        <f t="shared" si="1"/>
        <v>0</v>
      </c>
      <c r="AK37" s="126"/>
      <c r="AL37" s="54"/>
      <c r="AM37" s="1"/>
      <c r="AN37" s="1"/>
      <c r="AO37" s="1"/>
      <c r="AP37" s="1" t="s">
        <v>43</v>
      </c>
      <c r="AQ37" s="1"/>
      <c r="AR37" s="1"/>
      <c r="AS37" s="1"/>
      <c r="AT37" s="1"/>
      <c r="AU37" s="1"/>
      <c r="AV37" s="1"/>
      <c r="AW37" s="19"/>
      <c r="AX37" s="123"/>
      <c r="AY37" s="124"/>
      <c r="AZ37" s="125">
        <f t="shared" si="2"/>
        <v>0</v>
      </c>
      <c r="BA37" s="126"/>
      <c r="BB37" s="125">
        <f t="shared" si="3"/>
        <v>0</v>
      </c>
      <c r="BC37" s="126"/>
      <c r="BE37" s="54"/>
      <c r="BF37" s="1"/>
      <c r="BG37" s="1"/>
      <c r="BH37" s="1"/>
      <c r="BI37" s="1" t="s">
        <v>43</v>
      </c>
      <c r="BJ37" s="1"/>
      <c r="BK37" s="1"/>
      <c r="BL37" s="1"/>
      <c r="BM37" s="1"/>
      <c r="BN37" s="1"/>
      <c r="BO37" s="1"/>
      <c r="BP37" s="19"/>
      <c r="BQ37" s="123"/>
      <c r="BR37" s="124"/>
      <c r="BS37" s="125">
        <f t="shared" si="4"/>
        <v>0</v>
      </c>
      <c r="BT37" s="126"/>
      <c r="BU37" s="125">
        <f t="shared" si="5"/>
        <v>0</v>
      </c>
      <c r="BV37" s="126"/>
    </row>
    <row r="38" spans="1:74" ht="12.75" customHeight="1" x14ac:dyDescent="0.15">
      <c r="A38" s="54"/>
      <c r="B38" s="1"/>
      <c r="C38" s="1"/>
      <c r="D38" s="1" t="s">
        <v>40</v>
      </c>
      <c r="E38" s="1"/>
      <c r="F38" s="1"/>
      <c r="G38" s="1"/>
      <c r="H38" s="1"/>
      <c r="I38" s="1"/>
      <c r="J38" s="1"/>
      <c r="K38" s="1"/>
      <c r="L38" s="19"/>
      <c r="M38" s="119"/>
      <c r="N38" s="120"/>
      <c r="O38" s="121"/>
      <c r="P38" s="122"/>
      <c r="Q38" s="121"/>
      <c r="R38" s="122"/>
      <c r="T38" s="54"/>
      <c r="U38" s="1"/>
      <c r="V38" s="1"/>
      <c r="W38" s="1" t="s">
        <v>40</v>
      </c>
      <c r="X38" s="1"/>
      <c r="Y38" s="1"/>
      <c r="Z38" s="1"/>
      <c r="AA38" s="1"/>
      <c r="AB38" s="1"/>
      <c r="AC38" s="1"/>
      <c r="AD38" s="1"/>
      <c r="AE38" s="19"/>
      <c r="AF38" s="123"/>
      <c r="AG38" s="124"/>
      <c r="AH38" s="125">
        <f t="shared" si="0"/>
        <v>0</v>
      </c>
      <c r="AI38" s="126"/>
      <c r="AJ38" s="125">
        <f t="shared" si="1"/>
        <v>0</v>
      </c>
      <c r="AK38" s="126"/>
      <c r="AL38" s="54"/>
      <c r="AM38" s="1"/>
      <c r="AN38" s="1"/>
      <c r="AO38" s="1" t="s">
        <v>40</v>
      </c>
      <c r="AP38" s="1"/>
      <c r="AQ38" s="1"/>
      <c r="AR38" s="1"/>
      <c r="AS38" s="1"/>
      <c r="AT38" s="1"/>
      <c r="AU38" s="1"/>
      <c r="AV38" s="1"/>
      <c r="AW38" s="19"/>
      <c r="AX38" s="123"/>
      <c r="AY38" s="124"/>
      <c r="AZ38" s="125">
        <f t="shared" si="2"/>
        <v>0</v>
      </c>
      <c r="BA38" s="126"/>
      <c r="BB38" s="125">
        <f t="shared" si="3"/>
        <v>0</v>
      </c>
      <c r="BC38" s="126"/>
      <c r="BE38" s="54"/>
      <c r="BF38" s="1"/>
      <c r="BG38" s="1"/>
      <c r="BH38" s="1" t="s">
        <v>40</v>
      </c>
      <c r="BI38" s="1"/>
      <c r="BJ38" s="1"/>
      <c r="BK38" s="1"/>
      <c r="BL38" s="1"/>
      <c r="BM38" s="1"/>
      <c r="BN38" s="1"/>
      <c r="BO38" s="1"/>
      <c r="BP38" s="19"/>
      <c r="BQ38" s="123"/>
      <c r="BR38" s="124"/>
      <c r="BS38" s="125">
        <f t="shared" si="4"/>
        <v>0</v>
      </c>
      <c r="BT38" s="126"/>
      <c r="BU38" s="125">
        <f t="shared" si="5"/>
        <v>0</v>
      </c>
      <c r="BV38" s="126"/>
    </row>
    <row r="39" spans="1:74" ht="12.75" customHeight="1" x14ac:dyDescent="0.15">
      <c r="A39" s="54"/>
      <c r="B39" s="1"/>
      <c r="C39" s="1"/>
      <c r="D39" s="1"/>
      <c r="E39" s="1" t="s">
        <v>44</v>
      </c>
      <c r="F39" s="1"/>
      <c r="G39" s="1"/>
      <c r="H39" s="1"/>
      <c r="I39" s="1"/>
      <c r="J39" s="1"/>
      <c r="K39" s="1"/>
      <c r="L39" s="19"/>
      <c r="M39" s="119"/>
      <c r="N39" s="120"/>
      <c r="O39" s="121"/>
      <c r="P39" s="122"/>
      <c r="Q39" s="121"/>
      <c r="R39" s="122"/>
      <c r="T39" s="54"/>
      <c r="U39" s="1"/>
      <c r="V39" s="1"/>
      <c r="W39" s="1"/>
      <c r="X39" s="1" t="s">
        <v>44</v>
      </c>
      <c r="Y39" s="1"/>
      <c r="Z39" s="1"/>
      <c r="AA39" s="1"/>
      <c r="AB39" s="1"/>
      <c r="AC39" s="1"/>
      <c r="AD39" s="1"/>
      <c r="AE39" s="19"/>
      <c r="AF39" s="123"/>
      <c r="AG39" s="124"/>
      <c r="AH39" s="125">
        <f t="shared" si="0"/>
        <v>0</v>
      </c>
      <c r="AI39" s="126"/>
      <c r="AJ39" s="125">
        <f t="shared" si="1"/>
        <v>0</v>
      </c>
      <c r="AK39" s="126"/>
      <c r="AL39" s="54"/>
      <c r="AM39" s="1"/>
      <c r="AN39" s="1"/>
      <c r="AO39" s="1"/>
      <c r="AP39" s="1" t="s">
        <v>44</v>
      </c>
      <c r="AQ39" s="1"/>
      <c r="AR39" s="1"/>
      <c r="AS39" s="1"/>
      <c r="AT39" s="1"/>
      <c r="AU39" s="1"/>
      <c r="AV39" s="1"/>
      <c r="AW39" s="19"/>
      <c r="AX39" s="123"/>
      <c r="AY39" s="124"/>
      <c r="AZ39" s="125">
        <f t="shared" si="2"/>
        <v>0</v>
      </c>
      <c r="BA39" s="126"/>
      <c r="BB39" s="125">
        <f t="shared" si="3"/>
        <v>0</v>
      </c>
      <c r="BC39" s="126"/>
      <c r="BE39" s="54"/>
      <c r="BF39" s="1"/>
      <c r="BG39" s="1"/>
      <c r="BH39" s="1"/>
      <c r="BI39" s="1" t="s">
        <v>44</v>
      </c>
      <c r="BJ39" s="1"/>
      <c r="BK39" s="1"/>
      <c r="BL39" s="1"/>
      <c r="BM39" s="1"/>
      <c r="BN39" s="1"/>
      <c r="BO39" s="1"/>
      <c r="BP39" s="19"/>
      <c r="BQ39" s="123"/>
      <c r="BR39" s="124"/>
      <c r="BS39" s="125">
        <f t="shared" si="4"/>
        <v>0</v>
      </c>
      <c r="BT39" s="126"/>
      <c r="BU39" s="125">
        <f t="shared" si="5"/>
        <v>0</v>
      </c>
      <c r="BV39" s="126"/>
    </row>
    <row r="40" spans="1:74" ht="12.75" customHeight="1" x14ac:dyDescent="0.15">
      <c r="A40" s="54"/>
      <c r="B40" s="1"/>
      <c r="C40" s="1"/>
      <c r="D40" s="1" t="s">
        <v>41</v>
      </c>
      <c r="E40" s="1"/>
      <c r="F40" s="1"/>
      <c r="G40" s="1"/>
      <c r="H40" s="1"/>
      <c r="I40" s="1"/>
      <c r="J40" s="1"/>
      <c r="K40" s="1"/>
      <c r="L40" s="19"/>
      <c r="M40" s="119"/>
      <c r="N40" s="120"/>
      <c r="O40" s="121"/>
      <c r="P40" s="122"/>
      <c r="Q40" s="121"/>
      <c r="R40" s="122"/>
      <c r="T40" s="54"/>
      <c r="U40" s="1"/>
      <c r="V40" s="1"/>
      <c r="W40" s="1" t="s">
        <v>41</v>
      </c>
      <c r="X40" s="1"/>
      <c r="Y40" s="1"/>
      <c r="Z40" s="1"/>
      <c r="AA40" s="1"/>
      <c r="AB40" s="1"/>
      <c r="AC40" s="1"/>
      <c r="AD40" s="1"/>
      <c r="AE40" s="19"/>
      <c r="AF40" s="123"/>
      <c r="AG40" s="124"/>
      <c r="AH40" s="125">
        <f t="shared" si="0"/>
        <v>0</v>
      </c>
      <c r="AI40" s="126"/>
      <c r="AJ40" s="125">
        <f t="shared" si="1"/>
        <v>0</v>
      </c>
      <c r="AK40" s="126"/>
      <c r="AL40" s="54"/>
      <c r="AM40" s="1"/>
      <c r="AN40" s="1"/>
      <c r="AO40" s="1" t="s">
        <v>41</v>
      </c>
      <c r="AP40" s="1"/>
      <c r="AQ40" s="1"/>
      <c r="AR40" s="1"/>
      <c r="AS40" s="1"/>
      <c r="AT40" s="1"/>
      <c r="AU40" s="1"/>
      <c r="AV40" s="1"/>
      <c r="AW40" s="19"/>
      <c r="AX40" s="123"/>
      <c r="AY40" s="124"/>
      <c r="AZ40" s="125">
        <f t="shared" si="2"/>
        <v>0</v>
      </c>
      <c r="BA40" s="126"/>
      <c r="BB40" s="125">
        <f t="shared" si="3"/>
        <v>0</v>
      </c>
      <c r="BC40" s="126"/>
      <c r="BE40" s="54"/>
      <c r="BF40" s="1"/>
      <c r="BG40" s="1"/>
      <c r="BH40" s="1" t="s">
        <v>41</v>
      </c>
      <c r="BI40" s="1"/>
      <c r="BJ40" s="1"/>
      <c r="BK40" s="1"/>
      <c r="BL40" s="1"/>
      <c r="BM40" s="1"/>
      <c r="BN40" s="1"/>
      <c r="BO40" s="1"/>
      <c r="BP40" s="19"/>
      <c r="BQ40" s="123"/>
      <c r="BR40" s="124"/>
      <c r="BS40" s="125">
        <f t="shared" si="4"/>
        <v>0</v>
      </c>
      <c r="BT40" s="126"/>
      <c r="BU40" s="125">
        <f t="shared" si="5"/>
        <v>0</v>
      </c>
      <c r="BV40" s="126"/>
    </row>
    <row r="41" spans="1:74" ht="12.75" customHeight="1" x14ac:dyDescent="0.15">
      <c r="A41" s="54"/>
      <c r="B41" s="1"/>
      <c r="C41" s="1"/>
      <c r="D41" s="1" t="s">
        <v>42</v>
      </c>
      <c r="E41" s="1"/>
      <c r="F41" s="1"/>
      <c r="G41" s="46"/>
      <c r="H41" s="46"/>
      <c r="I41" s="46"/>
      <c r="J41" s="46"/>
      <c r="K41" s="46"/>
      <c r="L41" s="19"/>
      <c r="M41" s="119"/>
      <c r="N41" s="120"/>
      <c r="O41" s="121"/>
      <c r="P41" s="122"/>
      <c r="Q41" s="121"/>
      <c r="R41" s="122"/>
      <c r="T41" s="54"/>
      <c r="U41" s="1"/>
      <c r="V41" s="1"/>
      <c r="W41" s="1" t="s">
        <v>42</v>
      </c>
      <c r="X41" s="1"/>
      <c r="Y41" s="1"/>
      <c r="Z41" s="59"/>
      <c r="AA41" s="59"/>
      <c r="AB41" s="59"/>
      <c r="AC41" s="59"/>
      <c r="AD41" s="59"/>
      <c r="AE41" s="19"/>
      <c r="AF41" s="123"/>
      <c r="AG41" s="124"/>
      <c r="AH41" s="125">
        <f t="shared" si="0"/>
        <v>0</v>
      </c>
      <c r="AI41" s="126"/>
      <c r="AJ41" s="125">
        <f t="shared" si="1"/>
        <v>0</v>
      </c>
      <c r="AK41" s="126"/>
      <c r="AL41" s="54"/>
      <c r="AM41" s="1"/>
      <c r="AN41" s="1"/>
      <c r="AO41" s="1" t="s">
        <v>42</v>
      </c>
      <c r="AP41" s="1"/>
      <c r="AQ41" s="1"/>
      <c r="AR41" s="59"/>
      <c r="AS41" s="59"/>
      <c r="AT41" s="59"/>
      <c r="AU41" s="59"/>
      <c r="AV41" s="59"/>
      <c r="AW41" s="19"/>
      <c r="AX41" s="123"/>
      <c r="AY41" s="124"/>
      <c r="AZ41" s="125">
        <f t="shared" si="2"/>
        <v>0</v>
      </c>
      <c r="BA41" s="126"/>
      <c r="BB41" s="125">
        <f t="shared" si="3"/>
        <v>0</v>
      </c>
      <c r="BC41" s="126"/>
      <c r="BE41" s="54"/>
      <c r="BF41" s="1"/>
      <c r="BG41" s="1"/>
      <c r="BH41" s="1" t="s">
        <v>42</v>
      </c>
      <c r="BI41" s="1"/>
      <c r="BJ41" s="1"/>
      <c r="BK41" s="59"/>
      <c r="BL41" s="59"/>
      <c r="BM41" s="59"/>
      <c r="BN41" s="59"/>
      <c r="BO41" s="59"/>
      <c r="BP41" s="19"/>
      <c r="BQ41" s="123"/>
      <c r="BR41" s="124"/>
      <c r="BS41" s="125">
        <f t="shared" si="4"/>
        <v>0</v>
      </c>
      <c r="BT41" s="126"/>
      <c r="BU41" s="125">
        <f t="shared" si="5"/>
        <v>0</v>
      </c>
      <c r="BV41" s="126"/>
    </row>
    <row r="42" spans="1:74" ht="12.75" customHeight="1" x14ac:dyDescent="0.15">
      <c r="A42" s="54" t="s">
        <v>45</v>
      </c>
      <c r="B42" s="1" t="s">
        <v>46</v>
      </c>
      <c r="C42" s="1"/>
      <c r="D42" s="1"/>
      <c r="E42" s="1"/>
      <c r="F42" s="1"/>
      <c r="G42" s="1"/>
      <c r="H42" s="1"/>
      <c r="I42" s="1"/>
      <c r="J42" s="1"/>
      <c r="K42" s="1"/>
      <c r="L42" s="19"/>
      <c r="M42" s="119"/>
      <c r="N42" s="120"/>
      <c r="O42" s="121"/>
      <c r="P42" s="122"/>
      <c r="Q42" s="121"/>
      <c r="R42" s="122"/>
      <c r="T42" s="54" t="s">
        <v>45</v>
      </c>
      <c r="U42" s="1" t="s">
        <v>46</v>
      </c>
      <c r="V42" s="1"/>
      <c r="W42" s="1"/>
      <c r="X42" s="1"/>
      <c r="Y42" s="1"/>
      <c r="Z42" s="1"/>
      <c r="AA42" s="1"/>
      <c r="AB42" s="1"/>
      <c r="AC42" s="1"/>
      <c r="AD42" s="1"/>
      <c r="AE42" s="19"/>
      <c r="AF42" s="123"/>
      <c r="AG42" s="124"/>
      <c r="AH42" s="125">
        <f t="shared" si="0"/>
        <v>0</v>
      </c>
      <c r="AI42" s="126"/>
      <c r="AJ42" s="125">
        <f t="shared" si="1"/>
        <v>0</v>
      </c>
      <c r="AK42" s="126"/>
      <c r="AL42" s="54" t="s">
        <v>45</v>
      </c>
      <c r="AM42" s="1" t="s">
        <v>46</v>
      </c>
      <c r="AN42" s="1"/>
      <c r="AO42" s="1"/>
      <c r="AP42" s="1"/>
      <c r="AQ42" s="1"/>
      <c r="AR42" s="1"/>
      <c r="AS42" s="1"/>
      <c r="AT42" s="1"/>
      <c r="AU42" s="1"/>
      <c r="AV42" s="1"/>
      <c r="AW42" s="19"/>
      <c r="AX42" s="123"/>
      <c r="AY42" s="124"/>
      <c r="AZ42" s="125">
        <f t="shared" si="2"/>
        <v>0</v>
      </c>
      <c r="BA42" s="126"/>
      <c r="BB42" s="125">
        <f t="shared" si="3"/>
        <v>0</v>
      </c>
      <c r="BC42" s="126"/>
      <c r="BE42" s="54" t="s">
        <v>45</v>
      </c>
      <c r="BF42" s="1" t="s">
        <v>46</v>
      </c>
      <c r="BG42" s="1"/>
      <c r="BH42" s="1"/>
      <c r="BI42" s="1"/>
      <c r="BJ42" s="1"/>
      <c r="BK42" s="1"/>
      <c r="BL42" s="1"/>
      <c r="BM42" s="1"/>
      <c r="BN42" s="1"/>
      <c r="BO42" s="1"/>
      <c r="BP42" s="19"/>
      <c r="BQ42" s="123"/>
      <c r="BR42" s="124"/>
      <c r="BS42" s="125">
        <f t="shared" si="4"/>
        <v>0</v>
      </c>
      <c r="BT42" s="126"/>
      <c r="BU42" s="125">
        <f t="shared" si="5"/>
        <v>0</v>
      </c>
      <c r="BV42" s="126"/>
    </row>
    <row r="43" spans="1:74" ht="12.75" customHeight="1" x14ac:dyDescent="0.15">
      <c r="A43" s="54"/>
      <c r="B43" s="1" t="s">
        <v>47</v>
      </c>
      <c r="C43" s="1"/>
      <c r="D43" s="1"/>
      <c r="E43" s="1"/>
      <c r="F43" s="1"/>
      <c r="G43" s="1"/>
      <c r="H43" s="1"/>
      <c r="I43" s="1"/>
      <c r="J43" s="1"/>
      <c r="K43" s="1"/>
      <c r="L43" s="19"/>
      <c r="M43" s="119"/>
      <c r="N43" s="120"/>
      <c r="O43" s="121"/>
      <c r="P43" s="122"/>
      <c r="Q43" s="121"/>
      <c r="R43" s="122"/>
      <c r="T43" s="54"/>
      <c r="U43" s="1" t="s">
        <v>47</v>
      </c>
      <c r="V43" s="1"/>
      <c r="W43" s="1"/>
      <c r="X43" s="1"/>
      <c r="Y43" s="1"/>
      <c r="Z43" s="1"/>
      <c r="AA43" s="1"/>
      <c r="AB43" s="1"/>
      <c r="AC43" s="1"/>
      <c r="AD43" s="1"/>
      <c r="AE43" s="19"/>
      <c r="AF43" s="123"/>
      <c r="AG43" s="124"/>
      <c r="AH43" s="125">
        <f t="shared" si="0"/>
        <v>0</v>
      </c>
      <c r="AI43" s="126"/>
      <c r="AJ43" s="125">
        <f t="shared" si="1"/>
        <v>0</v>
      </c>
      <c r="AK43" s="126"/>
      <c r="AL43" s="54"/>
      <c r="AM43" s="1" t="s">
        <v>47</v>
      </c>
      <c r="AN43" s="1"/>
      <c r="AO43" s="1"/>
      <c r="AP43" s="1"/>
      <c r="AQ43" s="1"/>
      <c r="AR43" s="1"/>
      <c r="AS43" s="1"/>
      <c r="AT43" s="1"/>
      <c r="AU43" s="1"/>
      <c r="AV43" s="1"/>
      <c r="AW43" s="19"/>
      <c r="AX43" s="123"/>
      <c r="AY43" s="124"/>
      <c r="AZ43" s="125">
        <f t="shared" si="2"/>
        <v>0</v>
      </c>
      <c r="BA43" s="126"/>
      <c r="BB43" s="125">
        <f t="shared" si="3"/>
        <v>0</v>
      </c>
      <c r="BC43" s="126"/>
      <c r="BE43" s="54"/>
      <c r="BF43" s="1" t="s">
        <v>47</v>
      </c>
      <c r="BG43" s="1"/>
      <c r="BH43" s="1"/>
      <c r="BI43" s="1"/>
      <c r="BJ43" s="1"/>
      <c r="BK43" s="1"/>
      <c r="BL43" s="1"/>
      <c r="BM43" s="1"/>
      <c r="BN43" s="1"/>
      <c r="BO43" s="1"/>
      <c r="BP43" s="19"/>
      <c r="BQ43" s="123"/>
      <c r="BR43" s="124"/>
      <c r="BS43" s="125">
        <f t="shared" si="4"/>
        <v>0</v>
      </c>
      <c r="BT43" s="126"/>
      <c r="BU43" s="125">
        <f t="shared" si="5"/>
        <v>0</v>
      </c>
      <c r="BV43" s="126"/>
    </row>
    <row r="44" spans="1:74" ht="12.75" customHeight="1" x14ac:dyDescent="0.15">
      <c r="A44" s="54"/>
      <c r="B44" s="1" t="s">
        <v>48</v>
      </c>
      <c r="C44" s="1"/>
      <c r="D44" s="1"/>
      <c r="E44" s="1"/>
      <c r="F44" s="1"/>
      <c r="G44" s="1"/>
      <c r="H44" s="1"/>
      <c r="I44" s="1"/>
      <c r="J44" s="1"/>
      <c r="K44" s="1"/>
      <c r="L44" s="19"/>
      <c r="M44" s="119"/>
      <c r="N44" s="120"/>
      <c r="O44" s="121"/>
      <c r="P44" s="122"/>
      <c r="Q44" s="121"/>
      <c r="R44" s="122"/>
      <c r="T44" s="54"/>
      <c r="U44" s="1" t="s">
        <v>48</v>
      </c>
      <c r="V44" s="1"/>
      <c r="W44" s="1"/>
      <c r="X44" s="1"/>
      <c r="Y44" s="1"/>
      <c r="Z44" s="1"/>
      <c r="AA44" s="1"/>
      <c r="AB44" s="1"/>
      <c r="AC44" s="1"/>
      <c r="AD44" s="1"/>
      <c r="AE44" s="19"/>
      <c r="AF44" s="123"/>
      <c r="AG44" s="124"/>
      <c r="AH44" s="125">
        <f t="shared" si="0"/>
        <v>0</v>
      </c>
      <c r="AI44" s="126"/>
      <c r="AJ44" s="125">
        <f t="shared" si="1"/>
        <v>0</v>
      </c>
      <c r="AK44" s="126"/>
      <c r="AL44" s="54"/>
      <c r="AM44" s="1" t="s">
        <v>48</v>
      </c>
      <c r="AN44" s="1"/>
      <c r="AO44" s="1"/>
      <c r="AP44" s="1"/>
      <c r="AQ44" s="1"/>
      <c r="AR44" s="1"/>
      <c r="AS44" s="1"/>
      <c r="AT44" s="1"/>
      <c r="AU44" s="1"/>
      <c r="AV44" s="1"/>
      <c r="AW44" s="19"/>
      <c r="AX44" s="123"/>
      <c r="AY44" s="124"/>
      <c r="AZ44" s="125">
        <f t="shared" si="2"/>
        <v>0</v>
      </c>
      <c r="BA44" s="126"/>
      <c r="BB44" s="125">
        <f t="shared" si="3"/>
        <v>0</v>
      </c>
      <c r="BC44" s="126"/>
      <c r="BE44" s="54"/>
      <c r="BF44" s="1" t="s">
        <v>48</v>
      </c>
      <c r="BG44" s="1"/>
      <c r="BH44" s="1"/>
      <c r="BI44" s="1"/>
      <c r="BJ44" s="1"/>
      <c r="BK44" s="1"/>
      <c r="BL44" s="1"/>
      <c r="BM44" s="1"/>
      <c r="BN44" s="1"/>
      <c r="BO44" s="1"/>
      <c r="BP44" s="19"/>
      <c r="BQ44" s="123"/>
      <c r="BR44" s="124"/>
      <c r="BS44" s="125">
        <f t="shared" si="4"/>
        <v>0</v>
      </c>
      <c r="BT44" s="126"/>
      <c r="BU44" s="125">
        <f t="shared" si="5"/>
        <v>0</v>
      </c>
      <c r="BV44" s="126"/>
    </row>
    <row r="45" spans="1:74" ht="12.75" customHeight="1" x14ac:dyDescent="0.15">
      <c r="A45" s="54"/>
      <c r="B45" s="1" t="s">
        <v>83</v>
      </c>
      <c r="C45" s="1"/>
      <c r="D45" s="1"/>
      <c r="E45" s="1"/>
      <c r="F45" s="1"/>
      <c r="G45" s="1"/>
      <c r="H45" s="1"/>
      <c r="I45" s="1"/>
      <c r="J45" s="1"/>
      <c r="K45" s="1"/>
      <c r="L45" s="19"/>
      <c r="M45" s="137" t="s">
        <v>96</v>
      </c>
      <c r="N45" s="120"/>
      <c r="O45" s="121">
        <v>10309.280000000001</v>
      </c>
      <c r="P45" s="122"/>
      <c r="Q45" s="121">
        <f>ROUND(O45*3%,2)</f>
        <v>309.27999999999997</v>
      </c>
      <c r="R45" s="122"/>
      <c r="T45" s="54"/>
      <c r="U45" s="1" t="s">
        <v>83</v>
      </c>
      <c r="V45" s="1"/>
      <c r="W45" s="1"/>
      <c r="X45" s="1"/>
      <c r="Y45" s="1"/>
      <c r="Z45" s="1"/>
      <c r="AA45" s="1"/>
      <c r="AB45" s="1"/>
      <c r="AC45" s="1"/>
      <c r="AD45" s="1"/>
      <c r="AE45" s="19"/>
      <c r="AF45" s="138" t="str">
        <f>$M45</f>
        <v>24/10/2568</v>
      </c>
      <c r="AG45" s="139"/>
      <c r="AH45" s="125">
        <f t="shared" si="0"/>
        <v>10309.280000000001</v>
      </c>
      <c r="AI45" s="126"/>
      <c r="AJ45" s="125">
        <f t="shared" si="1"/>
        <v>309.27999999999997</v>
      </c>
      <c r="AK45" s="126"/>
      <c r="AL45" s="54"/>
      <c r="AM45" s="1" t="s">
        <v>83</v>
      </c>
      <c r="AN45" s="1"/>
      <c r="AO45" s="1"/>
      <c r="AP45" s="1"/>
      <c r="AQ45" s="1"/>
      <c r="AR45" s="1"/>
      <c r="AS45" s="1"/>
      <c r="AT45" s="1"/>
      <c r="AU45" s="1"/>
      <c r="AV45" s="1"/>
      <c r="AW45" s="19"/>
      <c r="AX45" s="138" t="str">
        <f>$M45</f>
        <v>24/10/2568</v>
      </c>
      <c r="AY45" s="139"/>
      <c r="AZ45" s="125">
        <f t="shared" si="2"/>
        <v>10309.280000000001</v>
      </c>
      <c r="BA45" s="126"/>
      <c r="BB45" s="125">
        <f t="shared" si="3"/>
        <v>309.27999999999997</v>
      </c>
      <c r="BC45" s="126"/>
      <c r="BE45" s="54"/>
      <c r="BF45" s="1" t="s">
        <v>83</v>
      </c>
      <c r="BG45" s="1"/>
      <c r="BH45" s="1"/>
      <c r="BI45" s="1"/>
      <c r="BJ45" s="1"/>
      <c r="BK45" s="1"/>
      <c r="BL45" s="1"/>
      <c r="BM45" s="1"/>
      <c r="BN45" s="1"/>
      <c r="BO45" s="1"/>
      <c r="BP45" s="19"/>
      <c r="BQ45" s="138" t="str">
        <f>$M45</f>
        <v>24/10/2568</v>
      </c>
      <c r="BR45" s="139"/>
      <c r="BS45" s="125">
        <f t="shared" si="4"/>
        <v>10309.280000000001</v>
      </c>
      <c r="BT45" s="126"/>
      <c r="BU45" s="125">
        <f t="shared" si="5"/>
        <v>309.27999999999997</v>
      </c>
      <c r="BV45" s="126"/>
    </row>
    <row r="46" spans="1:74" ht="12.75" customHeight="1" x14ac:dyDescent="0.15">
      <c r="A46" s="54" t="s">
        <v>49</v>
      </c>
      <c r="B46" s="1" t="s">
        <v>50</v>
      </c>
      <c r="C46" s="1"/>
      <c r="D46" s="1"/>
      <c r="E46" s="92" t="s">
        <v>95</v>
      </c>
      <c r="F46" s="61"/>
      <c r="G46" s="61"/>
      <c r="H46" s="46"/>
      <c r="I46" s="46"/>
      <c r="J46" s="46"/>
      <c r="K46" s="46"/>
      <c r="L46" s="19"/>
      <c r="M46" s="119"/>
      <c r="N46" s="120"/>
      <c r="O46" s="121"/>
      <c r="P46" s="122"/>
      <c r="Q46" s="121">
        <f>ROUND(O46*3%,2)</f>
        <v>0</v>
      </c>
      <c r="R46" s="122"/>
      <c r="T46" s="54" t="s">
        <v>49</v>
      </c>
      <c r="U46" s="1" t="s">
        <v>50</v>
      </c>
      <c r="V46" s="1"/>
      <c r="W46" s="1"/>
      <c r="X46" s="94" t="str">
        <f>$E46</f>
        <v>ค่าบริการวิชาชีพ</v>
      </c>
      <c r="Y46" s="60"/>
      <c r="Z46" s="60"/>
      <c r="AA46" s="60"/>
      <c r="AB46" s="60"/>
      <c r="AC46" s="60"/>
      <c r="AD46" s="60"/>
      <c r="AE46" s="19"/>
      <c r="AF46" s="138">
        <f>$M46</f>
        <v>0</v>
      </c>
      <c r="AG46" s="139"/>
      <c r="AH46" s="125">
        <f t="shared" si="0"/>
        <v>0</v>
      </c>
      <c r="AI46" s="126"/>
      <c r="AJ46" s="125">
        <f t="shared" si="1"/>
        <v>0</v>
      </c>
      <c r="AK46" s="126"/>
      <c r="AL46" s="54" t="s">
        <v>49</v>
      </c>
      <c r="AM46" s="1" t="s">
        <v>50</v>
      </c>
      <c r="AN46" s="1"/>
      <c r="AO46" s="1"/>
      <c r="AP46" s="94" t="str">
        <f>$E46</f>
        <v>ค่าบริการวิชาชีพ</v>
      </c>
      <c r="AQ46" s="60"/>
      <c r="AR46" s="60"/>
      <c r="AS46" s="60"/>
      <c r="AT46" s="60"/>
      <c r="AU46" s="60"/>
      <c r="AV46" s="60"/>
      <c r="AW46" s="19"/>
      <c r="AX46" s="138">
        <f>$M46</f>
        <v>0</v>
      </c>
      <c r="AY46" s="139"/>
      <c r="AZ46" s="125">
        <f t="shared" si="2"/>
        <v>0</v>
      </c>
      <c r="BA46" s="126"/>
      <c r="BB46" s="125">
        <f t="shared" si="3"/>
        <v>0</v>
      </c>
      <c r="BC46" s="126"/>
      <c r="BE46" s="54" t="s">
        <v>49</v>
      </c>
      <c r="BF46" s="1" t="s">
        <v>50</v>
      </c>
      <c r="BG46" s="1"/>
      <c r="BH46" s="1"/>
      <c r="BI46" s="94" t="str">
        <f>$E46</f>
        <v>ค่าบริการวิชาชีพ</v>
      </c>
      <c r="BJ46" s="60"/>
      <c r="BK46" s="60"/>
      <c r="BL46" s="60"/>
      <c r="BM46" s="60"/>
      <c r="BN46" s="60"/>
      <c r="BO46" s="60"/>
      <c r="BP46" s="19"/>
      <c r="BQ46" s="138">
        <f>$M46</f>
        <v>0</v>
      </c>
      <c r="BR46" s="139"/>
      <c r="BS46" s="125">
        <f t="shared" si="4"/>
        <v>0</v>
      </c>
      <c r="BT46" s="126"/>
      <c r="BU46" s="125">
        <f t="shared" si="5"/>
        <v>0</v>
      </c>
      <c r="BV46" s="126"/>
    </row>
    <row r="47" spans="1:74" ht="10" customHeight="1" x14ac:dyDescent="0.1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9"/>
      <c r="M47" s="144"/>
      <c r="N47" s="145"/>
      <c r="O47" s="142"/>
      <c r="P47" s="143"/>
      <c r="Q47" s="142"/>
      <c r="R47" s="143"/>
      <c r="T47" s="37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9"/>
      <c r="AF47" s="140"/>
      <c r="AG47" s="141"/>
      <c r="AH47" s="142"/>
      <c r="AI47" s="143"/>
      <c r="AJ47" s="142"/>
      <c r="AK47" s="143"/>
      <c r="AL47" s="37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9"/>
      <c r="AX47" s="140"/>
      <c r="AY47" s="141"/>
      <c r="AZ47" s="142"/>
      <c r="BA47" s="143"/>
      <c r="BB47" s="142"/>
      <c r="BC47" s="143"/>
      <c r="BE47" s="37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9"/>
      <c r="BQ47" s="140"/>
      <c r="BR47" s="141"/>
      <c r="BS47" s="142"/>
      <c r="BT47" s="143"/>
      <c r="BU47" s="142"/>
      <c r="BV47" s="143"/>
    </row>
    <row r="48" spans="1:74" ht="16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 t="s">
        <v>73</v>
      </c>
      <c r="K48" s="1"/>
      <c r="L48" s="1"/>
      <c r="M48" s="83"/>
      <c r="N48" s="83"/>
      <c r="O48" s="148">
        <f>SUM(O23:P47)</f>
        <v>10309.280000000001</v>
      </c>
      <c r="P48" s="149"/>
      <c r="Q48" s="148">
        <f>SUM(Q23:R47)</f>
        <v>309.27999999999997</v>
      </c>
      <c r="R48" s="149"/>
      <c r="T48" s="33"/>
      <c r="U48" s="1"/>
      <c r="V48" s="1"/>
      <c r="W48" s="1"/>
      <c r="X48" s="1"/>
      <c r="Y48" s="1"/>
      <c r="Z48" s="1"/>
      <c r="AA48" s="1"/>
      <c r="AB48" s="1"/>
      <c r="AC48" s="1" t="s">
        <v>73</v>
      </c>
      <c r="AD48" s="1"/>
      <c r="AE48" s="1"/>
      <c r="AF48" s="83"/>
      <c r="AG48" s="83"/>
      <c r="AH48" s="142">
        <f>SUM(AH23:AI47)</f>
        <v>10309.280000000001</v>
      </c>
      <c r="AI48" s="143"/>
      <c r="AJ48" s="142">
        <f>SUM(AJ23:AK47)</f>
        <v>309.27999999999997</v>
      </c>
      <c r="AK48" s="143"/>
      <c r="AL48" s="33"/>
      <c r="AM48" s="1"/>
      <c r="AN48" s="1"/>
      <c r="AO48" s="1"/>
      <c r="AP48" s="1"/>
      <c r="AQ48" s="1"/>
      <c r="AR48" s="1"/>
      <c r="AS48" s="1"/>
      <c r="AT48" s="1"/>
      <c r="AU48" s="1" t="s">
        <v>73</v>
      </c>
      <c r="AV48" s="1"/>
      <c r="AW48" s="1"/>
      <c r="AX48" s="83"/>
      <c r="AY48" s="83"/>
      <c r="AZ48" s="142">
        <f>SUM(AZ23:BA47)</f>
        <v>10309.280000000001</v>
      </c>
      <c r="BA48" s="143"/>
      <c r="BB48" s="142">
        <f>SUM(BB23:BC47)</f>
        <v>309.27999999999997</v>
      </c>
      <c r="BC48" s="143"/>
      <c r="BE48" s="33"/>
      <c r="BF48" s="1"/>
      <c r="BG48" s="1"/>
      <c r="BH48" s="1"/>
      <c r="BI48" s="1"/>
      <c r="BJ48" s="1"/>
      <c r="BK48" s="1"/>
      <c r="BL48" s="1"/>
      <c r="BM48" s="1"/>
      <c r="BN48" s="1" t="s">
        <v>73</v>
      </c>
      <c r="BO48" s="1"/>
      <c r="BP48" s="1"/>
      <c r="BQ48" s="83"/>
      <c r="BR48" s="83"/>
      <c r="BS48" s="142">
        <f>SUM(BS23:BT47)</f>
        <v>10309.280000000001</v>
      </c>
      <c r="BT48" s="143"/>
      <c r="BU48" s="142">
        <f>SUM(BU23:BV47)</f>
        <v>309.27999999999997</v>
      </c>
      <c r="BV48" s="143"/>
    </row>
    <row r="49" spans="1:74" ht="12.75" customHeight="1" thickBot="1" x14ac:dyDescent="0.2">
      <c r="A49" s="6"/>
      <c r="R49" s="14"/>
      <c r="T49" s="6"/>
      <c r="AK49" s="14"/>
      <c r="AL49" s="6"/>
      <c r="BC49" s="14"/>
      <c r="BE49" s="6"/>
      <c r="BV49" s="14"/>
    </row>
    <row r="50" spans="1:74" ht="20" customHeight="1" thickBot="1" x14ac:dyDescent="0.2">
      <c r="A50" s="44" t="s">
        <v>51</v>
      </c>
      <c r="B50" s="42"/>
      <c r="C50" s="42"/>
      <c r="D50" s="42"/>
      <c r="E50" s="42"/>
      <c r="F50" s="42"/>
      <c r="G50" s="90"/>
      <c r="H50" s="89"/>
      <c r="I50" s="89" t="str">
        <f>CONCATENATE("-- ",BAHTTEXT(Q48)," --")</f>
        <v>-- สามร้อยเก้าบาทยี่สิบแปดสตางค์ --</v>
      </c>
      <c r="J50" s="89"/>
      <c r="K50" s="89"/>
      <c r="L50" s="89"/>
      <c r="M50" s="87"/>
      <c r="N50" s="87"/>
      <c r="O50" s="87"/>
      <c r="P50" s="87"/>
      <c r="Q50" s="87"/>
      <c r="R50" s="88"/>
      <c r="T50" s="44" t="s">
        <v>51</v>
      </c>
      <c r="U50" s="42"/>
      <c r="V50" s="42"/>
      <c r="W50" s="42"/>
      <c r="X50" s="42"/>
      <c r="Y50" s="42"/>
      <c r="Z50" s="95"/>
      <c r="AA50" s="96"/>
      <c r="AB50" s="96" t="str">
        <f>$I50</f>
        <v>-- สามร้อยเก้าบาทยี่สิบแปดสตางค์ --</v>
      </c>
      <c r="AC50" s="96"/>
      <c r="AD50" s="96"/>
      <c r="AE50" s="96"/>
      <c r="AF50" s="96"/>
      <c r="AG50" s="96"/>
      <c r="AH50" s="67"/>
      <c r="AI50" s="67"/>
      <c r="AJ50" s="67"/>
      <c r="AK50" s="68"/>
      <c r="AL50" s="44" t="s">
        <v>51</v>
      </c>
      <c r="AM50" s="42"/>
      <c r="AN50" s="42"/>
      <c r="AO50" s="42"/>
      <c r="AP50" s="42"/>
      <c r="AQ50" s="42"/>
      <c r="AR50" s="66"/>
      <c r="AS50" s="67"/>
      <c r="AT50" s="67" t="str">
        <f>$I50</f>
        <v>-- สามร้อยเก้าบาทยี่สิบแปดสตางค์ --</v>
      </c>
      <c r="AU50" s="67"/>
      <c r="AV50" s="67"/>
      <c r="AW50" s="67"/>
      <c r="AX50" s="67"/>
      <c r="AY50" s="67"/>
      <c r="AZ50" s="67"/>
      <c r="BA50" s="67"/>
      <c r="BB50" s="67"/>
      <c r="BC50" s="68"/>
      <c r="BE50" s="44" t="s">
        <v>51</v>
      </c>
      <c r="BF50" s="42"/>
      <c r="BG50" s="42"/>
      <c r="BH50" s="42"/>
      <c r="BI50" s="42"/>
      <c r="BJ50" s="42"/>
      <c r="BK50" s="95"/>
      <c r="BL50" s="96"/>
      <c r="BM50" s="96" t="str">
        <f>$I50</f>
        <v>-- สามร้อยเก้าบาทยี่สิบแปดสตางค์ --</v>
      </c>
      <c r="BN50" s="96"/>
      <c r="BO50" s="96"/>
      <c r="BP50" s="96"/>
      <c r="BQ50" s="67"/>
      <c r="BR50" s="67"/>
      <c r="BS50" s="67"/>
      <c r="BT50" s="67"/>
      <c r="BU50" s="67"/>
      <c r="BV50" s="68"/>
    </row>
    <row r="51" spans="1:74" ht="12.75" customHeight="1" x14ac:dyDescent="0.15">
      <c r="A51" s="10"/>
      <c r="R51" s="13"/>
      <c r="T51" s="10"/>
      <c r="AK51" s="13"/>
      <c r="AL51" s="10"/>
      <c r="BC51" s="13"/>
      <c r="BE51" s="10"/>
      <c r="BV51" s="13"/>
    </row>
    <row r="52" spans="1:74" x14ac:dyDescent="0.15">
      <c r="A52" s="33"/>
      <c r="B52" s="34" t="s">
        <v>52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 t="s">
        <v>53</v>
      </c>
      <c r="P52" s="34"/>
      <c r="Q52" s="34"/>
      <c r="R52" s="43" t="s">
        <v>54</v>
      </c>
      <c r="T52" s="33"/>
      <c r="U52" s="34" t="s">
        <v>52</v>
      </c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 t="s">
        <v>53</v>
      </c>
      <c r="AI52" s="34"/>
      <c r="AJ52" s="34"/>
      <c r="AK52" s="43" t="s">
        <v>54</v>
      </c>
      <c r="AL52" s="33"/>
      <c r="AM52" s="34" t="s">
        <v>52</v>
      </c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 t="s">
        <v>53</v>
      </c>
      <c r="BA52" s="34"/>
      <c r="BB52" s="34"/>
      <c r="BC52" s="43" t="s">
        <v>54</v>
      </c>
      <c r="BE52" s="33"/>
      <c r="BF52" s="34" t="s">
        <v>52</v>
      </c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 t="s">
        <v>53</v>
      </c>
      <c r="BT52" s="34"/>
      <c r="BU52" s="34"/>
      <c r="BV52" s="43" t="s">
        <v>54</v>
      </c>
    </row>
    <row r="53" spans="1:74" ht="12.75" customHeight="1" x14ac:dyDescent="0.15">
      <c r="A53" s="35"/>
      <c r="B53" s="1"/>
      <c r="C53" s="1" t="s">
        <v>55</v>
      </c>
      <c r="D53" s="1"/>
      <c r="E53" s="1"/>
      <c r="F53" s="1"/>
      <c r="G53" s="1"/>
      <c r="H53" s="1"/>
      <c r="I53" s="36"/>
      <c r="J53" s="36"/>
      <c r="K53" s="36"/>
      <c r="L53" s="1" t="s">
        <v>54</v>
      </c>
      <c r="M53" s="1"/>
      <c r="N53" s="1"/>
      <c r="O53" s="1"/>
      <c r="P53" s="1"/>
      <c r="Q53" s="1"/>
      <c r="R53" s="19"/>
      <c r="T53" s="35"/>
      <c r="U53" s="1"/>
      <c r="V53" s="1" t="s">
        <v>55</v>
      </c>
      <c r="W53" s="1"/>
      <c r="X53" s="1"/>
      <c r="Y53" s="1"/>
      <c r="Z53" s="1"/>
      <c r="AA53" s="1"/>
      <c r="AB53" s="36"/>
      <c r="AC53" s="36"/>
      <c r="AD53" s="36"/>
      <c r="AE53" s="1" t="s">
        <v>54</v>
      </c>
      <c r="AF53" s="1"/>
      <c r="AG53" s="1"/>
      <c r="AH53" s="1"/>
      <c r="AI53" s="1"/>
      <c r="AJ53" s="1"/>
      <c r="AK53" s="19"/>
      <c r="AL53" s="35"/>
      <c r="AM53" s="1"/>
      <c r="AN53" s="1" t="s">
        <v>55</v>
      </c>
      <c r="AO53" s="1"/>
      <c r="AP53" s="1"/>
      <c r="AQ53" s="1"/>
      <c r="AR53" s="1"/>
      <c r="AS53" s="1"/>
      <c r="AT53" s="36"/>
      <c r="AU53" s="36"/>
      <c r="AV53" s="36"/>
      <c r="AW53" s="1" t="s">
        <v>54</v>
      </c>
      <c r="AX53" s="1"/>
      <c r="AY53" s="1"/>
      <c r="AZ53" s="1"/>
      <c r="BA53" s="1"/>
      <c r="BB53" s="1"/>
      <c r="BC53" s="19"/>
      <c r="BE53" s="35"/>
      <c r="BF53" s="1"/>
      <c r="BG53" s="1" t="s">
        <v>55</v>
      </c>
      <c r="BH53" s="1"/>
      <c r="BI53" s="1"/>
      <c r="BJ53" s="1"/>
      <c r="BK53" s="1"/>
      <c r="BL53" s="1"/>
      <c r="BM53" s="36"/>
      <c r="BN53" s="36"/>
      <c r="BO53" s="36"/>
      <c r="BP53" s="1" t="s">
        <v>54</v>
      </c>
      <c r="BQ53" s="1"/>
      <c r="BR53" s="1"/>
      <c r="BS53" s="1"/>
      <c r="BT53" s="1"/>
      <c r="BU53" s="1"/>
      <c r="BV53" s="19"/>
    </row>
    <row r="54" spans="1:74" ht="12.75" customHeight="1" x14ac:dyDescent="0.15">
      <c r="A54" s="37"/>
      <c r="B54" s="38"/>
      <c r="C54" s="38" t="s">
        <v>56</v>
      </c>
      <c r="D54" s="38"/>
      <c r="E54" s="38"/>
      <c r="F54" s="38"/>
      <c r="G54" s="38"/>
      <c r="H54" s="38"/>
      <c r="I54" s="38"/>
      <c r="J54" s="38"/>
      <c r="K54" s="38" t="s">
        <v>57</v>
      </c>
      <c r="L54" s="38"/>
      <c r="M54" s="38"/>
      <c r="N54" s="38"/>
      <c r="O54" s="38"/>
      <c r="P54" s="38"/>
      <c r="Q54" s="38"/>
      <c r="R54" s="39"/>
      <c r="T54" s="37"/>
      <c r="U54" s="38"/>
      <c r="V54" s="38" t="s">
        <v>56</v>
      </c>
      <c r="W54" s="38"/>
      <c r="X54" s="38"/>
      <c r="Y54" s="38"/>
      <c r="Z54" s="38"/>
      <c r="AA54" s="38"/>
      <c r="AB54" s="38"/>
      <c r="AC54" s="38"/>
      <c r="AD54" s="38" t="s">
        <v>57</v>
      </c>
      <c r="AE54" s="38"/>
      <c r="AF54" s="38"/>
      <c r="AG54" s="38"/>
      <c r="AH54" s="38"/>
      <c r="AI54" s="38"/>
      <c r="AJ54" s="38"/>
      <c r="AK54" s="39"/>
      <c r="AL54" s="37"/>
      <c r="AM54" s="38"/>
      <c r="AN54" s="38" t="s">
        <v>56</v>
      </c>
      <c r="AO54" s="38"/>
      <c r="AP54" s="38"/>
      <c r="AQ54" s="38"/>
      <c r="AR54" s="38"/>
      <c r="AS54" s="38"/>
      <c r="AT54" s="38"/>
      <c r="AU54" s="38"/>
      <c r="AV54" s="38" t="s">
        <v>57</v>
      </c>
      <c r="AW54" s="38"/>
      <c r="AX54" s="38"/>
      <c r="AY54" s="38"/>
      <c r="AZ54" s="38"/>
      <c r="BA54" s="38"/>
      <c r="BB54" s="38"/>
      <c r="BC54" s="39"/>
      <c r="BE54" s="37"/>
      <c r="BF54" s="38"/>
      <c r="BG54" s="38" t="s">
        <v>56</v>
      </c>
      <c r="BH54" s="38"/>
      <c r="BI54" s="38"/>
      <c r="BJ54" s="38"/>
      <c r="BK54" s="38"/>
      <c r="BL54" s="38"/>
      <c r="BM54" s="38"/>
      <c r="BN54" s="38"/>
      <c r="BO54" s="38" t="s">
        <v>57</v>
      </c>
      <c r="BP54" s="38"/>
      <c r="BQ54" s="38"/>
      <c r="BR54" s="38"/>
      <c r="BS54" s="38"/>
      <c r="BT54" s="38"/>
      <c r="BU54" s="38"/>
      <c r="BV54" s="39"/>
    </row>
    <row r="55" spans="1:74" ht="12.75" customHeight="1" x14ac:dyDescent="0.15">
      <c r="A55" s="15" t="s">
        <v>58</v>
      </c>
      <c r="B55" s="3"/>
      <c r="C55" s="3"/>
      <c r="D55" s="3"/>
      <c r="E55" s="3"/>
      <c r="F55" s="15"/>
      <c r="G55" s="3" t="s">
        <v>71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14"/>
      <c r="T55" s="15" t="s">
        <v>58</v>
      </c>
      <c r="U55" s="3"/>
      <c r="V55" s="3"/>
      <c r="W55" s="3"/>
      <c r="X55" s="3"/>
      <c r="Y55" s="15"/>
      <c r="Z55" s="3" t="s">
        <v>71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4"/>
      <c r="AL55" s="15" t="s">
        <v>58</v>
      </c>
      <c r="AM55" s="3"/>
      <c r="AN55" s="3"/>
      <c r="AO55" s="3"/>
      <c r="AP55" s="3"/>
      <c r="AQ55" s="15"/>
      <c r="AR55" s="3" t="s">
        <v>71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4"/>
      <c r="BE55" s="15" t="s">
        <v>58</v>
      </c>
      <c r="BF55" s="3"/>
      <c r="BG55" s="3"/>
      <c r="BH55" s="3"/>
      <c r="BI55" s="3"/>
      <c r="BJ55" s="15"/>
      <c r="BK55" s="3" t="s">
        <v>71</v>
      </c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14"/>
    </row>
    <row r="56" spans="1:74" ht="14.5" customHeight="1" x14ac:dyDescent="0.15">
      <c r="A56" s="6"/>
      <c r="B56" s="1" t="s">
        <v>59</v>
      </c>
      <c r="C56" s="1"/>
      <c r="D56" s="1"/>
      <c r="E56" s="1"/>
      <c r="F56" s="3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9"/>
      <c r="T56" s="6"/>
      <c r="U56" s="1" t="s">
        <v>59</v>
      </c>
      <c r="V56" s="1"/>
      <c r="W56" s="1"/>
      <c r="X56" s="1"/>
      <c r="Y56" s="3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9"/>
      <c r="AL56" s="6"/>
      <c r="AM56" s="1" t="s">
        <v>59</v>
      </c>
      <c r="AN56" s="1"/>
      <c r="AO56" s="1"/>
      <c r="AP56" s="1"/>
      <c r="AQ56" s="35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9"/>
      <c r="BE56" s="6"/>
      <c r="BF56" s="1" t="s">
        <v>59</v>
      </c>
      <c r="BG56" s="1"/>
      <c r="BH56" s="1"/>
      <c r="BI56" s="1"/>
      <c r="BJ56" s="35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9"/>
    </row>
    <row r="57" spans="1:74" ht="14.5" customHeight="1" x14ac:dyDescent="0.15">
      <c r="A57" s="6"/>
      <c r="B57" s="1" t="s">
        <v>60</v>
      </c>
      <c r="C57" s="1"/>
      <c r="D57" s="1"/>
      <c r="E57" s="1"/>
      <c r="F57" s="3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9"/>
      <c r="T57" s="6"/>
      <c r="U57" s="1" t="s">
        <v>60</v>
      </c>
      <c r="V57" s="1"/>
      <c r="W57" s="1"/>
      <c r="X57" s="1"/>
      <c r="Y57" s="3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9"/>
      <c r="AL57" s="6"/>
      <c r="AM57" s="1" t="s">
        <v>60</v>
      </c>
      <c r="AN57" s="1"/>
      <c r="AO57" s="1"/>
      <c r="AP57" s="1"/>
      <c r="AQ57" s="35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9"/>
      <c r="BE57" s="6"/>
      <c r="BF57" s="1" t="s">
        <v>60</v>
      </c>
      <c r="BG57" s="1"/>
      <c r="BH57" s="1"/>
      <c r="BI57" s="1"/>
      <c r="BJ57" s="35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9"/>
    </row>
    <row r="58" spans="1:74" ht="14.5" customHeight="1" x14ac:dyDescent="0.15">
      <c r="A58" s="6"/>
      <c r="B58" s="1" t="s">
        <v>61</v>
      </c>
      <c r="C58" s="1"/>
      <c r="D58" s="1"/>
      <c r="E58" s="1"/>
      <c r="F58" s="41" t="s">
        <v>63</v>
      </c>
      <c r="G58" s="40"/>
      <c r="H58" s="40"/>
      <c r="I58" s="40"/>
      <c r="J58" s="40"/>
      <c r="K58" s="40"/>
      <c r="L58" s="1" t="s">
        <v>72</v>
      </c>
      <c r="M58" s="1"/>
      <c r="N58" s="1"/>
      <c r="O58" s="1"/>
      <c r="P58" s="1"/>
      <c r="Q58" s="1"/>
      <c r="R58" s="19"/>
      <c r="T58" s="6"/>
      <c r="U58" s="1" t="s">
        <v>61</v>
      </c>
      <c r="V58" s="1"/>
      <c r="W58" s="1"/>
      <c r="X58" s="1"/>
      <c r="Y58" s="41" t="s">
        <v>63</v>
      </c>
      <c r="Z58" s="40"/>
      <c r="AA58" s="40"/>
      <c r="AB58" s="40"/>
      <c r="AC58" s="40"/>
      <c r="AD58" s="40"/>
      <c r="AE58" s="1" t="s">
        <v>72</v>
      </c>
      <c r="AF58" s="1"/>
      <c r="AG58" s="1"/>
      <c r="AH58" s="1"/>
      <c r="AI58" s="1"/>
      <c r="AJ58" s="1"/>
      <c r="AK58" s="19"/>
      <c r="AL58" s="6"/>
      <c r="AM58" s="1" t="s">
        <v>61</v>
      </c>
      <c r="AN58" s="1"/>
      <c r="AO58" s="1"/>
      <c r="AP58" s="1"/>
      <c r="AQ58" s="41" t="s">
        <v>63</v>
      </c>
      <c r="AR58" s="40"/>
      <c r="AS58" s="40"/>
      <c r="AT58" s="40"/>
      <c r="AU58" s="40"/>
      <c r="AV58" s="40"/>
      <c r="AW58" s="1" t="s">
        <v>72</v>
      </c>
      <c r="AX58" s="1"/>
      <c r="AY58" s="1"/>
      <c r="AZ58" s="1"/>
      <c r="BA58" s="1"/>
      <c r="BB58" s="1"/>
      <c r="BC58" s="19"/>
      <c r="BE58" s="6"/>
      <c r="BF58" s="1" t="s">
        <v>61</v>
      </c>
      <c r="BG58" s="1"/>
      <c r="BH58" s="1"/>
      <c r="BI58" s="1"/>
      <c r="BJ58" s="41" t="s">
        <v>63</v>
      </c>
      <c r="BK58" s="40"/>
      <c r="BL58" s="40"/>
      <c r="BM58" s="40"/>
      <c r="BN58" s="40"/>
      <c r="BO58" s="40"/>
      <c r="BP58" s="1" t="s">
        <v>72</v>
      </c>
      <c r="BQ58" s="1"/>
      <c r="BR58" s="1"/>
      <c r="BS58" s="1"/>
      <c r="BT58" s="1"/>
      <c r="BU58" s="1"/>
      <c r="BV58" s="19"/>
    </row>
    <row r="59" spans="1:74" ht="14.5" customHeight="1" x14ac:dyDescent="0.15">
      <c r="A59" s="6"/>
      <c r="B59" s="1" t="s">
        <v>62</v>
      </c>
      <c r="C59" s="1"/>
      <c r="D59" s="1"/>
      <c r="E59" s="1"/>
      <c r="F59" s="35"/>
      <c r="G59" s="146" t="str">
        <f>+M45</f>
        <v>24/10/2568</v>
      </c>
      <c r="H59" s="146"/>
      <c r="I59" s="146"/>
      <c r="J59" s="146"/>
      <c r="K59" s="146"/>
      <c r="L59" s="1" t="s">
        <v>64</v>
      </c>
      <c r="M59" s="1"/>
      <c r="N59" s="1"/>
      <c r="O59" s="1"/>
      <c r="P59" s="1"/>
      <c r="Q59" s="1"/>
      <c r="R59" s="19"/>
      <c r="T59" s="6"/>
      <c r="U59" s="1" t="s">
        <v>62</v>
      </c>
      <c r="V59" s="1"/>
      <c r="W59" s="1"/>
      <c r="X59" s="1"/>
      <c r="Y59" s="35"/>
      <c r="Z59" s="147" t="str">
        <f>$G59</f>
        <v>24/10/2568</v>
      </c>
      <c r="AA59" s="147"/>
      <c r="AB59" s="147"/>
      <c r="AC59" s="147"/>
      <c r="AD59" s="147"/>
      <c r="AE59" s="1" t="s">
        <v>64</v>
      </c>
      <c r="AF59" s="1"/>
      <c r="AG59" s="1"/>
      <c r="AH59" s="1"/>
      <c r="AI59" s="1"/>
      <c r="AJ59" s="1"/>
      <c r="AK59" s="19"/>
      <c r="AL59" s="6"/>
      <c r="AM59" s="1" t="s">
        <v>62</v>
      </c>
      <c r="AN59" s="1"/>
      <c r="AO59" s="1"/>
      <c r="AP59" s="1"/>
      <c r="AQ59" s="35"/>
      <c r="AR59" s="147" t="str">
        <f>$G59</f>
        <v>24/10/2568</v>
      </c>
      <c r="AS59" s="147"/>
      <c r="AT59" s="147"/>
      <c r="AU59" s="147"/>
      <c r="AV59" s="147"/>
      <c r="AW59" s="1" t="s">
        <v>64</v>
      </c>
      <c r="AX59" s="1"/>
      <c r="AY59" s="1"/>
      <c r="AZ59" s="1"/>
      <c r="BA59" s="1"/>
      <c r="BB59" s="1"/>
      <c r="BC59" s="19"/>
      <c r="BE59" s="6"/>
      <c r="BF59" s="1" t="s">
        <v>62</v>
      </c>
      <c r="BG59" s="1"/>
      <c r="BH59" s="1"/>
      <c r="BI59" s="1"/>
      <c r="BJ59" s="35"/>
      <c r="BK59" s="147" t="str">
        <f>$G59</f>
        <v>24/10/2568</v>
      </c>
      <c r="BL59" s="147"/>
      <c r="BM59" s="147"/>
      <c r="BN59" s="147"/>
      <c r="BO59" s="147"/>
      <c r="BP59" s="1" t="s">
        <v>64</v>
      </c>
      <c r="BQ59" s="1"/>
      <c r="BR59" s="1"/>
      <c r="BS59" s="1"/>
      <c r="BT59" s="1"/>
      <c r="BU59" s="1"/>
      <c r="BV59" s="19"/>
    </row>
    <row r="60" spans="1:74" ht="12.75" customHeight="1" x14ac:dyDescent="0.15">
      <c r="A60" s="10"/>
      <c r="B60" s="11"/>
      <c r="C60" s="11"/>
      <c r="D60" s="11"/>
      <c r="E60" s="11"/>
      <c r="F60" s="1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3"/>
      <c r="T60" s="10"/>
      <c r="U60" s="11"/>
      <c r="V60" s="11"/>
      <c r="W60" s="11"/>
      <c r="X60" s="11"/>
      <c r="Y60" s="10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3"/>
      <c r="AL60" s="10"/>
      <c r="AM60" s="11"/>
      <c r="AN60" s="11"/>
      <c r="AO60" s="11"/>
      <c r="AP60" s="11"/>
      <c r="AQ60" s="10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3"/>
      <c r="BE60" s="10"/>
      <c r="BF60" s="11"/>
      <c r="BG60" s="11"/>
      <c r="BH60" s="11"/>
      <c r="BI60" s="11"/>
      <c r="BJ60" s="10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3"/>
    </row>
    <row r="61" spans="1:74" x14ac:dyDescent="0.15">
      <c r="A61" s="77" t="s">
        <v>65</v>
      </c>
      <c r="B61" s="7"/>
      <c r="C61" s="7"/>
      <c r="D61" s="7" t="s">
        <v>85</v>
      </c>
      <c r="K61" s="76" t="s">
        <v>89</v>
      </c>
      <c r="L61" s="75"/>
      <c r="M61" s="7"/>
      <c r="T61" s="77" t="s">
        <v>65</v>
      </c>
      <c r="U61" s="7"/>
      <c r="V61" s="7"/>
      <c r="W61" s="7" t="s">
        <v>85</v>
      </c>
      <c r="AD61" s="76" t="s">
        <v>89</v>
      </c>
      <c r="AE61" s="75"/>
      <c r="AF61" s="7"/>
      <c r="AL61" s="77" t="s">
        <v>65</v>
      </c>
      <c r="AM61" s="7"/>
      <c r="AN61" s="7"/>
      <c r="AO61" s="7" t="s">
        <v>85</v>
      </c>
      <c r="AV61" s="76" t="s">
        <v>89</v>
      </c>
      <c r="AW61" s="75"/>
      <c r="AX61" s="7"/>
      <c r="BE61" s="77" t="s">
        <v>65</v>
      </c>
      <c r="BF61" s="7"/>
      <c r="BG61" s="7"/>
      <c r="BH61" s="7" t="s">
        <v>85</v>
      </c>
      <c r="BO61" s="76" t="s">
        <v>89</v>
      </c>
      <c r="BP61" s="75"/>
      <c r="BQ61" s="7"/>
    </row>
    <row r="62" spans="1:74" x14ac:dyDescent="0.15">
      <c r="A62" s="7"/>
      <c r="B62" s="7"/>
      <c r="C62" s="7"/>
      <c r="D62" s="7" t="s">
        <v>84</v>
      </c>
      <c r="K62" s="75" t="s">
        <v>86</v>
      </c>
      <c r="M62" s="7"/>
      <c r="T62" s="7"/>
      <c r="U62" s="7"/>
      <c r="V62" s="7"/>
      <c r="W62" s="7" t="s">
        <v>84</v>
      </c>
      <c r="AD62" s="75" t="s">
        <v>86</v>
      </c>
      <c r="AF62" s="7"/>
      <c r="AL62" s="7"/>
      <c r="AM62" s="7"/>
      <c r="AN62" s="7"/>
      <c r="AO62" s="7" t="s">
        <v>84</v>
      </c>
      <c r="AV62" s="75" t="s">
        <v>86</v>
      </c>
      <c r="AX62" s="7"/>
      <c r="BE62" s="7"/>
      <c r="BF62" s="7"/>
      <c r="BG62" s="7"/>
      <c r="BH62" s="7" t="s">
        <v>84</v>
      </c>
      <c r="BO62" s="75" t="s">
        <v>86</v>
      </c>
      <c r="BQ62" s="7"/>
    </row>
    <row r="63" spans="1:74" x14ac:dyDescent="0.15">
      <c r="A63" s="7"/>
      <c r="B63" s="7"/>
      <c r="C63" s="7"/>
      <c r="D63" s="7" t="s">
        <v>66</v>
      </c>
      <c r="K63" s="75" t="s">
        <v>87</v>
      </c>
      <c r="M63" s="7"/>
      <c r="S63" s="50" t="s">
        <v>79</v>
      </c>
      <c r="T63" s="7"/>
      <c r="U63" s="7"/>
      <c r="V63" s="7"/>
      <c r="W63" s="7" t="s">
        <v>66</v>
      </c>
      <c r="AD63" s="75" t="s">
        <v>87</v>
      </c>
      <c r="AF63" s="7"/>
      <c r="AL63" s="7"/>
      <c r="AM63" s="7"/>
      <c r="AN63" s="7"/>
      <c r="AO63" s="7" t="s">
        <v>66</v>
      </c>
      <c r="AV63" s="75" t="s">
        <v>87</v>
      </c>
      <c r="AX63" s="7"/>
      <c r="BD63" s="50" t="s">
        <v>79</v>
      </c>
      <c r="BE63" s="7"/>
      <c r="BF63" s="7"/>
      <c r="BG63" s="7"/>
      <c r="BH63" s="7" t="s">
        <v>66</v>
      </c>
      <c r="BO63" s="75" t="s">
        <v>87</v>
      </c>
      <c r="BQ63" s="7"/>
    </row>
    <row r="64" spans="1:74" x14ac:dyDescent="0.15">
      <c r="K64" s="75" t="s">
        <v>88</v>
      </c>
      <c r="M64" s="7"/>
      <c r="AD64" s="75" t="s">
        <v>88</v>
      </c>
      <c r="AF64" s="7"/>
      <c r="AV64" s="75" t="s">
        <v>88</v>
      </c>
      <c r="AX64" s="7"/>
      <c r="BO64" s="75" t="s">
        <v>88</v>
      </c>
      <c r="BQ64" s="7"/>
    </row>
    <row r="65" spans="23:23" x14ac:dyDescent="0.15">
      <c r="W65" s="7" t="s">
        <v>103</v>
      </c>
    </row>
  </sheetData>
  <mergeCells count="335">
    <mergeCell ref="G59:K59"/>
    <mergeCell ref="Z59:AD59"/>
    <mergeCell ref="AR59:AV59"/>
    <mergeCell ref="BK59:BO59"/>
    <mergeCell ref="O48:P48"/>
    <mergeCell ref="Q48:R48"/>
    <mergeCell ref="BQ47:BR47"/>
    <mergeCell ref="BS46:BT46"/>
    <mergeCell ref="BU46:BV46"/>
    <mergeCell ref="AX46:AY46"/>
    <mergeCell ref="AZ46:BA46"/>
    <mergeCell ref="BB46:BC46"/>
    <mergeCell ref="BQ46:BR46"/>
    <mergeCell ref="AH48:AI48"/>
    <mergeCell ref="AJ48:AK48"/>
    <mergeCell ref="BS47:BT47"/>
    <mergeCell ref="BU47:BV47"/>
    <mergeCell ref="AH47:AI47"/>
    <mergeCell ref="AJ47:AK47"/>
    <mergeCell ref="AZ48:BA48"/>
    <mergeCell ref="BB48:BC48"/>
    <mergeCell ref="BS48:BT48"/>
    <mergeCell ref="BU48:BV48"/>
    <mergeCell ref="M46:N46"/>
    <mergeCell ref="O46:P46"/>
    <mergeCell ref="Q46:R46"/>
    <mergeCell ref="AF46:AG46"/>
    <mergeCell ref="AH46:AI46"/>
    <mergeCell ref="AJ46:AK46"/>
    <mergeCell ref="AX47:AY47"/>
    <mergeCell ref="AZ47:BA47"/>
    <mergeCell ref="BB47:BC47"/>
    <mergeCell ref="M47:N47"/>
    <mergeCell ref="O47:P47"/>
    <mergeCell ref="Q47:R47"/>
    <mergeCell ref="AF47:AG47"/>
    <mergeCell ref="BB45:BC45"/>
    <mergeCell ref="BQ45:BR45"/>
    <mergeCell ref="BS44:BT44"/>
    <mergeCell ref="BU44:BV44"/>
    <mergeCell ref="M44:N44"/>
    <mergeCell ref="O44:P44"/>
    <mergeCell ref="Q44:R44"/>
    <mergeCell ref="AF44:AG44"/>
    <mergeCell ref="AH44:AI44"/>
    <mergeCell ref="AJ44:AK44"/>
    <mergeCell ref="BS45:BT45"/>
    <mergeCell ref="BU45:BV45"/>
    <mergeCell ref="M45:N45"/>
    <mergeCell ref="O45:P45"/>
    <mergeCell ref="Q45:R45"/>
    <mergeCell ref="AF45:AG45"/>
    <mergeCell ref="AH45:AI45"/>
    <mergeCell ref="AJ45:AK45"/>
    <mergeCell ref="AX45:AY45"/>
    <mergeCell ref="AZ45:BA45"/>
    <mergeCell ref="AX44:AY44"/>
    <mergeCell ref="AZ44:BA44"/>
    <mergeCell ref="BB44:BC44"/>
    <mergeCell ref="BQ44:BR44"/>
    <mergeCell ref="BS43:BT43"/>
    <mergeCell ref="BU43:BV43"/>
    <mergeCell ref="AX43:AY43"/>
    <mergeCell ref="AZ43:BA43"/>
    <mergeCell ref="BB43:BC43"/>
    <mergeCell ref="BQ43:BR43"/>
    <mergeCell ref="M42:N42"/>
    <mergeCell ref="O42:P42"/>
    <mergeCell ref="Q42:R42"/>
    <mergeCell ref="AF42:AG42"/>
    <mergeCell ref="AH42:AI42"/>
    <mergeCell ref="AJ42:AK42"/>
    <mergeCell ref="AX42:AY42"/>
    <mergeCell ref="AZ42:BA42"/>
    <mergeCell ref="M43:N43"/>
    <mergeCell ref="O43:P43"/>
    <mergeCell ref="Q43:R43"/>
    <mergeCell ref="AF43:AG43"/>
    <mergeCell ref="AH43:AI43"/>
    <mergeCell ref="AJ43:AK43"/>
    <mergeCell ref="BQ41:BR41"/>
    <mergeCell ref="BS40:BT40"/>
    <mergeCell ref="BU40:BV40"/>
    <mergeCell ref="AX40:AY40"/>
    <mergeCell ref="AZ40:BA40"/>
    <mergeCell ref="BB40:BC40"/>
    <mergeCell ref="BQ40:BR40"/>
    <mergeCell ref="BB42:BC42"/>
    <mergeCell ref="BQ42:BR42"/>
    <mergeCell ref="BS41:BT41"/>
    <mergeCell ref="BU41:BV41"/>
    <mergeCell ref="BS42:BT42"/>
    <mergeCell ref="BU42:BV42"/>
    <mergeCell ref="M40:N40"/>
    <mergeCell ref="O40:P40"/>
    <mergeCell ref="Q40:R40"/>
    <mergeCell ref="AF40:AG40"/>
    <mergeCell ref="AH40:AI40"/>
    <mergeCell ref="AJ40:AK40"/>
    <mergeCell ref="AX41:AY41"/>
    <mergeCell ref="AZ41:BA41"/>
    <mergeCell ref="BB41:BC41"/>
    <mergeCell ref="M41:N41"/>
    <mergeCell ref="O41:P41"/>
    <mergeCell ref="Q41:R41"/>
    <mergeCell ref="AF41:AG41"/>
    <mergeCell ref="AH41:AI41"/>
    <mergeCell ref="AJ41:AK41"/>
    <mergeCell ref="BB39:BC39"/>
    <mergeCell ref="BQ39:BR39"/>
    <mergeCell ref="BS38:BT38"/>
    <mergeCell ref="BU38:BV38"/>
    <mergeCell ref="M38:N38"/>
    <mergeCell ref="O38:P38"/>
    <mergeCell ref="Q38:R38"/>
    <mergeCell ref="AF38:AG38"/>
    <mergeCell ref="AH38:AI38"/>
    <mergeCell ref="AJ38:AK38"/>
    <mergeCell ref="BS39:BT39"/>
    <mergeCell ref="BU39:BV39"/>
    <mergeCell ref="M39:N39"/>
    <mergeCell ref="O39:P39"/>
    <mergeCell ref="Q39:R39"/>
    <mergeCell ref="AF39:AG39"/>
    <mergeCell ref="AH39:AI39"/>
    <mergeCell ref="AJ39:AK39"/>
    <mergeCell ref="AX39:AY39"/>
    <mergeCell ref="AZ39:BA39"/>
    <mergeCell ref="AX38:AY38"/>
    <mergeCell ref="AZ38:BA38"/>
    <mergeCell ref="BB38:BC38"/>
    <mergeCell ref="BQ38:BR38"/>
    <mergeCell ref="BS37:BT37"/>
    <mergeCell ref="BU37:BV37"/>
    <mergeCell ref="AX37:AY37"/>
    <mergeCell ref="AZ37:BA37"/>
    <mergeCell ref="BB37:BC37"/>
    <mergeCell ref="BQ37:BR37"/>
    <mergeCell ref="M36:N36"/>
    <mergeCell ref="O36:P36"/>
    <mergeCell ref="Q36:R36"/>
    <mergeCell ref="AF36:AG36"/>
    <mergeCell ref="AH36:AI36"/>
    <mergeCell ref="AJ36:AK36"/>
    <mergeCell ref="AX36:AY36"/>
    <mergeCell ref="AZ36:BA36"/>
    <mergeCell ref="M37:N37"/>
    <mergeCell ref="O37:P37"/>
    <mergeCell ref="Q37:R37"/>
    <mergeCell ref="AF37:AG37"/>
    <mergeCell ref="AH37:AI37"/>
    <mergeCell ref="AJ37:AK37"/>
    <mergeCell ref="BQ35:BR35"/>
    <mergeCell ref="BS34:BT34"/>
    <mergeCell ref="BU34:BV34"/>
    <mergeCell ref="AX34:AY34"/>
    <mergeCell ref="AZ34:BA34"/>
    <mergeCell ref="BB34:BC34"/>
    <mergeCell ref="BQ34:BR34"/>
    <mergeCell ref="BB36:BC36"/>
    <mergeCell ref="BQ36:BR36"/>
    <mergeCell ref="BS35:BT35"/>
    <mergeCell ref="BU35:BV35"/>
    <mergeCell ref="BS36:BT36"/>
    <mergeCell ref="BU36:BV36"/>
    <mergeCell ref="M34:N34"/>
    <mergeCell ref="O34:P34"/>
    <mergeCell ref="Q34:R34"/>
    <mergeCell ref="AF34:AG34"/>
    <mergeCell ref="AH34:AI34"/>
    <mergeCell ref="AJ34:AK34"/>
    <mergeCell ref="AX35:AY35"/>
    <mergeCell ref="AZ35:BA35"/>
    <mergeCell ref="BB35:BC35"/>
    <mergeCell ref="M35:N35"/>
    <mergeCell ref="O35:P35"/>
    <mergeCell ref="Q35:R35"/>
    <mergeCell ref="AF35:AG35"/>
    <mergeCell ref="AH35:AI35"/>
    <mergeCell ref="AJ35:AK35"/>
    <mergeCell ref="BB33:BC33"/>
    <mergeCell ref="BQ33:BR33"/>
    <mergeCell ref="BS32:BT32"/>
    <mergeCell ref="BU32:BV32"/>
    <mergeCell ref="M32:N32"/>
    <mergeCell ref="O32:P32"/>
    <mergeCell ref="Q32:R32"/>
    <mergeCell ref="AF32:AG32"/>
    <mergeCell ref="AH32:AI32"/>
    <mergeCell ref="AJ32:AK32"/>
    <mergeCell ref="BS33:BT33"/>
    <mergeCell ref="BU33:BV33"/>
    <mergeCell ref="M33:N33"/>
    <mergeCell ref="O33:P33"/>
    <mergeCell ref="Q33:R33"/>
    <mergeCell ref="AF33:AG33"/>
    <mergeCell ref="AH33:AI33"/>
    <mergeCell ref="AJ33:AK33"/>
    <mergeCell ref="AX33:AY33"/>
    <mergeCell ref="AZ33:BA33"/>
    <mergeCell ref="AX32:AY32"/>
    <mergeCell ref="AZ32:BA32"/>
    <mergeCell ref="BB32:BC32"/>
    <mergeCell ref="BQ32:BR32"/>
    <mergeCell ref="BS31:BT31"/>
    <mergeCell ref="BU31:BV31"/>
    <mergeCell ref="AX31:AY31"/>
    <mergeCell ref="AZ31:BA31"/>
    <mergeCell ref="BB31:BC31"/>
    <mergeCell ref="BQ31:BR31"/>
    <mergeCell ref="M30:N30"/>
    <mergeCell ref="O30:P30"/>
    <mergeCell ref="Q30:R30"/>
    <mergeCell ref="AF30:AG30"/>
    <mergeCell ref="AH30:AI30"/>
    <mergeCell ref="AJ30:AK30"/>
    <mergeCell ref="AX30:AY30"/>
    <mergeCell ref="AZ30:BA30"/>
    <mergeCell ref="M31:N31"/>
    <mergeCell ref="O31:P31"/>
    <mergeCell ref="Q31:R31"/>
    <mergeCell ref="AF31:AG31"/>
    <mergeCell ref="AH31:AI31"/>
    <mergeCell ref="AJ31:AK31"/>
    <mergeCell ref="BQ29:BR29"/>
    <mergeCell ref="BS28:BT28"/>
    <mergeCell ref="BU28:BV28"/>
    <mergeCell ref="AX28:AY28"/>
    <mergeCell ref="AZ28:BA28"/>
    <mergeCell ref="BB28:BC28"/>
    <mergeCell ref="BQ28:BR28"/>
    <mergeCell ref="BB30:BC30"/>
    <mergeCell ref="BQ30:BR30"/>
    <mergeCell ref="BS29:BT29"/>
    <mergeCell ref="BU29:BV29"/>
    <mergeCell ref="BS30:BT30"/>
    <mergeCell ref="BU30:BV30"/>
    <mergeCell ref="M28:N28"/>
    <mergeCell ref="O28:P28"/>
    <mergeCell ref="Q28:R28"/>
    <mergeCell ref="AF28:AG28"/>
    <mergeCell ref="AH28:AI28"/>
    <mergeCell ref="AJ28:AK28"/>
    <mergeCell ref="AX29:AY29"/>
    <mergeCell ref="AZ29:BA29"/>
    <mergeCell ref="BB29:BC29"/>
    <mergeCell ref="M29:N29"/>
    <mergeCell ref="O29:P29"/>
    <mergeCell ref="Q29:R29"/>
    <mergeCell ref="AF29:AG29"/>
    <mergeCell ref="AH29:AI29"/>
    <mergeCell ref="AJ29:AK29"/>
    <mergeCell ref="BB27:BC27"/>
    <mergeCell ref="BQ27:BR27"/>
    <mergeCell ref="BS26:BT26"/>
    <mergeCell ref="BU26:BV26"/>
    <mergeCell ref="M26:N26"/>
    <mergeCell ref="O26:P26"/>
    <mergeCell ref="Q26:R26"/>
    <mergeCell ref="AF26:AG26"/>
    <mergeCell ref="AH26:AI26"/>
    <mergeCell ref="AJ26:AK26"/>
    <mergeCell ref="BS27:BT27"/>
    <mergeCell ref="BU27:BV27"/>
    <mergeCell ref="M27:N27"/>
    <mergeCell ref="O27:P27"/>
    <mergeCell ref="Q27:R27"/>
    <mergeCell ref="AF27:AG27"/>
    <mergeCell ref="AH27:AI27"/>
    <mergeCell ref="AJ27:AK27"/>
    <mergeCell ref="AX27:AY27"/>
    <mergeCell ref="AZ27:BA27"/>
    <mergeCell ref="AX26:AY26"/>
    <mergeCell ref="AZ26:BA26"/>
    <mergeCell ref="BB26:BC26"/>
    <mergeCell ref="BQ26:BR26"/>
    <mergeCell ref="BS25:BT25"/>
    <mergeCell ref="BU25:BV25"/>
    <mergeCell ref="AX25:AY25"/>
    <mergeCell ref="AZ25:BA25"/>
    <mergeCell ref="BB25:BC25"/>
    <mergeCell ref="BQ25:BR25"/>
    <mergeCell ref="BU23:BV23"/>
    <mergeCell ref="BB24:BC24"/>
    <mergeCell ref="BQ24:BR24"/>
    <mergeCell ref="BS24:BT24"/>
    <mergeCell ref="BU24:BV24"/>
    <mergeCell ref="AX24:AY24"/>
    <mergeCell ref="AZ24:BA24"/>
    <mergeCell ref="M25:N25"/>
    <mergeCell ref="O25:P25"/>
    <mergeCell ref="Q25:R25"/>
    <mergeCell ref="AF25:AG25"/>
    <mergeCell ref="AH25:AI25"/>
    <mergeCell ref="AJ25:AK25"/>
    <mergeCell ref="BS21:BT22"/>
    <mergeCell ref="M23:N23"/>
    <mergeCell ref="O23:P23"/>
    <mergeCell ref="Q23:R23"/>
    <mergeCell ref="AF23:AG23"/>
    <mergeCell ref="AH23:AI23"/>
    <mergeCell ref="AJ23:AK23"/>
    <mergeCell ref="AX23:AY23"/>
    <mergeCell ref="AZ23:BA23"/>
    <mergeCell ref="BB23:BC23"/>
    <mergeCell ref="BQ23:BR23"/>
    <mergeCell ref="BS23:BT23"/>
    <mergeCell ref="M24:N24"/>
    <mergeCell ref="O24:P24"/>
    <mergeCell ref="Q24:R24"/>
    <mergeCell ref="AF24:AG24"/>
    <mergeCell ref="AH24:AI24"/>
    <mergeCell ref="AJ24:AK24"/>
    <mergeCell ref="BE21:BP22"/>
    <mergeCell ref="AL17:AR19"/>
    <mergeCell ref="BE17:BK19"/>
    <mergeCell ref="A21:L22"/>
    <mergeCell ref="O21:P22"/>
    <mergeCell ref="T21:AE22"/>
    <mergeCell ref="AH21:AI22"/>
    <mergeCell ref="A17:G19"/>
    <mergeCell ref="T17:Z19"/>
    <mergeCell ref="AL21:AW22"/>
    <mergeCell ref="AZ21:BA22"/>
    <mergeCell ref="P11:R11"/>
    <mergeCell ref="P6:R6"/>
    <mergeCell ref="P12:R12"/>
    <mergeCell ref="AI11:AK11"/>
    <mergeCell ref="AI12:AK12"/>
    <mergeCell ref="BA6:BC6"/>
    <mergeCell ref="BA11:BC11"/>
    <mergeCell ref="BA12:BC12"/>
    <mergeCell ref="BT6:BV6"/>
    <mergeCell ref="BT11:BV11"/>
    <mergeCell ref="BT12:BV12"/>
  </mergeCells>
  <phoneticPr fontId="20" type="noConversion"/>
  <printOptions verticalCentered="1"/>
  <pageMargins left="0.22" right="0.22" top="0.11" bottom="0.11" header="0" footer="0"/>
  <pageSetup paperSize="9" scale="65" orientation="landscape" blackAndWhite="1" horizontalDpi="1200" verticalDpi="1200" r:id="rId1"/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6903-006-พิชชานันท์</vt:lpstr>
      <vt:lpstr>6903-005-พิชชานันท์</vt:lpstr>
      <vt:lpstr>6903-004-พิงพันธุ์</vt:lpstr>
      <vt:lpstr>6903-003-จิรายุ</vt:lpstr>
      <vt:lpstr>6903-002-ชยันต์</vt:lpstr>
      <vt:lpstr>6903-001-คอล โฟร์ แคร์</vt:lpstr>
      <vt:lpstr>6902-006-จิรายุ</vt:lpstr>
      <vt:lpstr>6902-005-ชุติกาญจน์</vt:lpstr>
      <vt:lpstr>6902-004-เอบีที ออดิทติ้ง</vt:lpstr>
      <vt:lpstr>6902-003-พิชชานันท์</vt:lpstr>
      <vt:lpstr>6901-002-ชยันต์</vt:lpstr>
      <vt:lpstr>6902-001-คอล โฟร์ แคร์</vt:lpstr>
      <vt:lpstr>6901-006-จิรายุ</vt:lpstr>
      <vt:lpstr>6901-005-ชุติกาญจน์</vt:lpstr>
      <vt:lpstr>6901-004-พิชชานันท์</vt:lpstr>
      <vt:lpstr>6901-003-ชยันต์</vt:lpstr>
      <vt:lpstr>6901-002-คอล โฟร์ แคร์</vt:lpstr>
      <vt:lpstr>6901-001-พิชชานันท์</vt:lpstr>
      <vt:lpstr>6812-03-ชุติกาญจน์</vt:lpstr>
      <vt:lpstr>6812-02-จิรายุ</vt:lpstr>
      <vt:lpstr>6812-001-ชยันต์</vt:lpstr>
      <vt:lpstr>6811-001-ชยันต์</vt:lpstr>
      <vt:lpstr>6810-03-ชุติกาญจน์</vt:lpstr>
      <vt:lpstr>6810-02-ชุติกาญจน์</vt:lpstr>
      <vt:lpstr>6810-001-ชยันต์</vt:lpstr>
      <vt:lpstr>'6810-001-ชยันต์'!Print_Area</vt:lpstr>
      <vt:lpstr>'6810-02-ชุติกาญจน์'!Print_Area</vt:lpstr>
      <vt:lpstr>'6810-03-ชุติกาญจน์'!Print_Area</vt:lpstr>
      <vt:lpstr>'6811-001-ชยันต์'!Print_Area</vt:lpstr>
      <vt:lpstr>'6812-001-ชยันต์'!Print_Area</vt:lpstr>
      <vt:lpstr>'6812-02-จิรายุ'!Print_Area</vt:lpstr>
      <vt:lpstr>'6812-03-ชุติกาญจน์'!Print_Area</vt:lpstr>
      <vt:lpstr>'6901-001-พิชชานันท์'!Print_Area</vt:lpstr>
      <vt:lpstr>'6901-002-คอล โฟร์ แคร์'!Print_Area</vt:lpstr>
      <vt:lpstr>'6901-002-ชยันต์'!Print_Area</vt:lpstr>
      <vt:lpstr>'6901-003-ชยันต์'!Print_Area</vt:lpstr>
      <vt:lpstr>'6901-004-พิชชานันท์'!Print_Area</vt:lpstr>
      <vt:lpstr>'6901-005-ชุติกาญจน์'!Print_Area</vt:lpstr>
      <vt:lpstr>'6901-006-จิรายุ'!Print_Area</vt:lpstr>
      <vt:lpstr>'6902-001-คอล โฟร์ แคร์'!Print_Area</vt:lpstr>
      <vt:lpstr>'6902-003-พิชชานันท์'!Print_Area</vt:lpstr>
      <vt:lpstr>'6902-004-เอบีที ออดิทติ้ง'!Print_Area</vt:lpstr>
      <vt:lpstr>'6902-005-ชุติกาญจน์'!Print_Area</vt:lpstr>
      <vt:lpstr>'6902-006-จิรายุ'!Print_Area</vt:lpstr>
      <vt:lpstr>'6903-001-คอล โฟร์ แคร์'!Print_Area</vt:lpstr>
      <vt:lpstr>'6903-002-ชยันต์'!Print_Area</vt:lpstr>
      <vt:lpstr>'6903-003-จิรายุ'!Print_Area</vt:lpstr>
      <vt:lpstr>'6903-004-พิงพันธุ์'!Print_Area</vt:lpstr>
      <vt:lpstr>'6903-005-พิชชานันท์'!Print_Area</vt:lpstr>
      <vt:lpstr>'6903-006-พิชชานันท์'!Print_Area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Samard</dc:creator>
  <cp:lastModifiedBy>Phasit Thanitkul</cp:lastModifiedBy>
  <cp:lastPrinted>2026-04-08T15:05:19Z</cp:lastPrinted>
  <dcterms:created xsi:type="dcterms:W3CDTF">2012-06-07T03:28:02Z</dcterms:created>
  <dcterms:modified xsi:type="dcterms:W3CDTF">2026-04-09T11:19:32Z</dcterms:modified>
</cp:coreProperties>
</file>