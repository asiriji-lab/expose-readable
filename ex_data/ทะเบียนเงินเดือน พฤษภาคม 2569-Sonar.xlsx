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.nitrov15\Downloads\"/>
    </mc:Choice>
  </mc:AlternateContent>
  <xr:revisionPtr revIDLastSave="0" documentId="8_{40A15E8B-F940-49B3-9ADA-94FE5A4409B3}" xr6:coauthVersionLast="47" xr6:coauthVersionMax="47" xr10:uidLastSave="{00000000-0000-0000-0000-000000000000}"/>
  <bookViews>
    <workbookView xWindow="-108" yWindow="-108" windowWidth="23256" windowHeight="12456" xr2:uid="{B0F815C5-285E-43B2-996F-C9B078C67775}"/>
  </bookViews>
  <sheets>
    <sheet name="2569-01" sheetId="2" r:id="rId1"/>
  </sheets>
  <definedNames>
    <definedName name="_xlnm.Print_Area" localSheetId="0">'2569-01'!$A$1:$Q$10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2" l="1"/>
  <c r="J9" i="2"/>
  <c r="O7" i="2"/>
  <c r="K9" i="2"/>
  <c r="O9" i="2" s="1"/>
  <c r="N10" i="2"/>
  <c r="M10" i="2"/>
  <c r="L10" i="2"/>
  <c r="I10" i="2"/>
  <c r="G10" i="2"/>
  <c r="J7" i="2"/>
  <c r="O6" i="2"/>
  <c r="J6" i="2"/>
  <c r="J5" i="2"/>
  <c r="P7" i="2" l="1"/>
  <c r="J10" i="2"/>
  <c r="K10" i="2"/>
  <c r="P6" i="2"/>
  <c r="P9" i="2"/>
  <c r="O5" i="2"/>
  <c r="O10" i="2" s="1"/>
  <c r="P5" i="2" l="1"/>
  <c r="P10" i="2" s="1"/>
  <c r="H12" i="2" s="1"/>
</calcChain>
</file>

<file path=xl/sharedStrings.xml><?xml version="1.0" encoding="utf-8"?>
<sst xmlns="http://schemas.openxmlformats.org/spreadsheetml/2006/main" count="49" uniqueCount="46">
  <si>
    <t>ลำดับที่</t>
  </si>
  <si>
    <t>เลขบัตรประชาชน</t>
  </si>
  <si>
    <t>ชื่อ-สกุล</t>
  </si>
  <si>
    <t>วันที่เข้างาน</t>
  </si>
  <si>
    <t>ตำแหน่ง</t>
  </si>
  <si>
    <t>เงินได้</t>
  </si>
  <si>
    <t>รายการหัก</t>
  </si>
  <si>
    <t>จ่ายสุทธิ</t>
  </si>
  <si>
    <t>หมายเหตุ</t>
  </si>
  <si>
    <t>เงินเดือน</t>
  </si>
  <si>
    <t>รวมเงินได้</t>
  </si>
  <si>
    <t>ประกันสังคม</t>
  </si>
  <si>
    <t>ภาษี</t>
  </si>
  <si>
    <t>เบิกล่วงหน้า</t>
  </si>
  <si>
    <t>อื่น ๆ</t>
  </si>
  <si>
    <t>รวมหัก</t>
  </si>
  <si>
    <t>01.01.2568</t>
  </si>
  <si>
    <t xml:space="preserve">หมายเหตุ   </t>
  </si>
  <si>
    <t>จ่ายเงินเดือนโดย</t>
  </si>
  <si>
    <t xml:space="preserve">                               เงินสด</t>
  </si>
  <si>
    <t>จำนวน__________________บาท</t>
  </si>
  <si>
    <t xml:space="preserve">                                                                      เงินโอน  (ตามแนบ)</t>
  </si>
  <si>
    <t xml:space="preserve">          </t>
  </si>
  <si>
    <t>บริษัท โซนาร์ เอไอ จำกัด</t>
  </si>
  <si>
    <t>ล่วงเวลา</t>
  </si>
  <si>
    <t>กรรมการ</t>
  </si>
  <si>
    <t>รวม</t>
  </si>
  <si>
    <t>นายพสิษฐ์</t>
  </si>
  <si>
    <t>ธนิตกุล</t>
  </si>
  <si>
    <t>CEO</t>
  </si>
  <si>
    <t>นายกษิดิศ</t>
  </si>
  <si>
    <t>มานะสุรางกูล</t>
  </si>
  <si>
    <t>01.10.2568</t>
  </si>
  <si>
    <t>นางสาวลลิดา</t>
  </si>
  <si>
    <t>ไกรฤทธิ์</t>
  </si>
  <si>
    <t>วิศวกรคอมพิวเตอร์</t>
  </si>
  <si>
    <t>นายพศิน</t>
  </si>
  <si>
    <t>นุ่มกรรณ์</t>
  </si>
  <si>
    <t>1 1014 02334 32 7</t>
  </si>
  <si>
    <t>COO</t>
  </si>
  <si>
    <t>จำนวน</t>
  </si>
  <si>
    <t>บาท</t>
  </si>
  <si>
    <t>นางสาววรพรรณ</t>
  </si>
  <si>
    <t>ปรัชญานิมิต</t>
  </si>
  <si>
    <t>19.05.2569</t>
  </si>
  <si>
    <r>
      <t xml:space="preserve">สรุปรายงานการเงินเดือนประจำเดือน  </t>
    </r>
    <r>
      <rPr>
        <b/>
        <u/>
        <sz val="17"/>
        <color indexed="12"/>
        <rFont val="AngsanaUPC"/>
        <family val="1"/>
      </rPr>
      <t xml:space="preserve"> พฤษภาคม 2569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</si>
</sst>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1000000]0\ 0000\ 00000\ 00\ 0"/>
  </numFmts>
  <fonts count="17" x14ac:knownFonts="1">
    <font>
      <sz val="10"/>
      <name val="Arial"/>
      <charset val="222"/>
    </font>
    <font>
      <sz val="10"/>
      <name val="Arial"/>
      <family val="2"/>
    </font>
    <font>
      <b/>
      <sz val="20"/>
      <color rgb="FF0000FF"/>
      <name val="AngsanaUPC"/>
      <family val="1"/>
      <charset val="222"/>
    </font>
    <font>
      <sz val="16"/>
      <name val="AngsanaUPC"/>
      <family val="1"/>
      <charset val="222"/>
    </font>
    <font>
      <b/>
      <sz val="17"/>
      <color rgb="FF0000FF"/>
      <name val="AngsanaUPC"/>
      <family val="1"/>
      <charset val="222"/>
    </font>
    <font>
      <b/>
      <u/>
      <sz val="17"/>
      <color indexed="12"/>
      <name val="AngsanaUPC"/>
      <family val="1"/>
    </font>
    <font>
      <sz val="14"/>
      <name val="AngsanaUPC"/>
      <family val="1"/>
      <charset val="222"/>
    </font>
    <font>
      <sz val="15"/>
      <name val="AngsanaUPC"/>
      <family val="1"/>
      <charset val="222"/>
    </font>
    <font>
      <b/>
      <sz val="15"/>
      <name val="AngsanaUPC"/>
      <family val="1"/>
    </font>
    <font>
      <b/>
      <sz val="15"/>
      <name val="AngsanaUPC"/>
      <family val="1"/>
      <charset val="222"/>
    </font>
    <font>
      <sz val="15"/>
      <color theme="1"/>
      <name val="AngsanaUPC"/>
      <family val="1"/>
      <charset val="222"/>
    </font>
    <font>
      <sz val="16"/>
      <name val="Angsana New"/>
      <family val="1"/>
    </font>
    <font>
      <sz val="15"/>
      <color rgb="FF0000FF"/>
      <name val="AngsanaUPC"/>
      <family val="1"/>
    </font>
    <font>
      <b/>
      <sz val="17"/>
      <name val="AngsanaUPC"/>
      <family val="1"/>
    </font>
    <font>
      <sz val="15"/>
      <name val="Angsana New"/>
      <family val="1"/>
    </font>
    <font>
      <sz val="14"/>
      <name val="Angsana New"/>
      <family val="1"/>
    </font>
    <font>
      <b/>
      <sz val="17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3" fillId="0" borderId="0" xfId="0" applyFont="1"/>
    <xf numFmtId="0" fontId="7" fillId="0" borderId="0" xfId="0" applyFont="1"/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164" fontId="9" fillId="2" borderId="15" xfId="1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11" fillId="0" borderId="19" xfId="0" applyFont="1" applyBorder="1"/>
    <xf numFmtId="0" fontId="11" fillId="0" borderId="20" xfId="0" applyFont="1" applyBorder="1"/>
    <xf numFmtId="164" fontId="12" fillId="2" borderId="26" xfId="1" applyFont="1" applyFill="1" applyBorder="1"/>
    <xf numFmtId="0" fontId="11" fillId="0" borderId="27" xfId="0" applyFont="1" applyBorder="1"/>
    <xf numFmtId="0" fontId="11" fillId="0" borderId="26" xfId="0" applyFont="1" applyBorder="1"/>
    <xf numFmtId="164" fontId="12" fillId="2" borderId="31" xfId="1" applyFont="1" applyFill="1" applyBorder="1"/>
    <xf numFmtId="164" fontId="13" fillId="2" borderId="13" xfId="1" applyFont="1" applyFill="1" applyBorder="1"/>
    <xf numFmtId="164" fontId="13" fillId="2" borderId="14" xfId="1" applyFont="1" applyFill="1" applyBorder="1"/>
    <xf numFmtId="164" fontId="13" fillId="2" borderId="15" xfId="1" applyFont="1" applyFill="1" applyBorder="1"/>
    <xf numFmtId="164" fontId="13" fillId="2" borderId="33" xfId="1" applyFont="1" applyFill="1" applyBorder="1"/>
    <xf numFmtId="164" fontId="13" fillId="2" borderId="12" xfId="1" applyFont="1" applyFill="1" applyBorder="1"/>
    <xf numFmtId="0" fontId="13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164" fontId="3" fillId="0" borderId="0" xfId="1" applyFont="1" applyAlignment="1">
      <alignment horizontal="left"/>
    </xf>
    <xf numFmtId="0" fontId="3" fillId="0" borderId="0" xfId="0" applyFont="1" applyAlignment="1">
      <alignment horizontal="center"/>
    </xf>
    <xf numFmtId="164" fontId="3" fillId="0" borderId="0" xfId="1" applyFont="1" applyAlignment="1">
      <alignment horizontal="center"/>
    </xf>
    <xf numFmtId="164" fontId="3" fillId="0" borderId="0" xfId="1" applyFont="1"/>
    <xf numFmtId="0" fontId="11" fillId="0" borderId="18" xfId="0" applyFont="1" applyBorder="1" applyAlignment="1">
      <alignment horizontal="center"/>
    </xf>
    <xf numFmtId="165" fontId="14" fillId="0" borderId="18" xfId="0" applyNumberFormat="1" applyFont="1" applyBorder="1" applyAlignment="1">
      <alignment horizontal="center"/>
    </xf>
    <xf numFmtId="14" fontId="11" fillId="0" borderId="21" xfId="0" quotePrefix="1" applyNumberFormat="1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164" fontId="11" fillId="0" borderId="23" xfId="1" applyFont="1" applyBorder="1"/>
    <xf numFmtId="164" fontId="11" fillId="0" borderId="18" xfId="1" applyFont="1" applyBorder="1"/>
    <xf numFmtId="164" fontId="16" fillId="2" borderId="24" xfId="1" applyFont="1" applyFill="1" applyBorder="1"/>
    <xf numFmtId="164" fontId="16" fillId="2" borderId="25" xfId="1" applyFont="1" applyFill="1" applyBorder="1"/>
    <xf numFmtId="0" fontId="11" fillId="0" borderId="28" xfId="0" applyFont="1" applyBorder="1" applyAlignment="1">
      <alignment horizontal="center"/>
    </xf>
    <xf numFmtId="0" fontId="11" fillId="0" borderId="29" xfId="0" applyFont="1" applyBorder="1"/>
    <xf numFmtId="0" fontId="11" fillId="0" borderId="21" xfId="0" applyFont="1" applyBorder="1"/>
    <xf numFmtId="164" fontId="11" fillId="0" borderId="30" xfId="1" applyFont="1" applyBorder="1"/>
    <xf numFmtId="0" fontId="7" fillId="2" borderId="35" xfId="0" applyFont="1" applyFill="1" applyBorder="1" applyAlignment="1">
      <alignment horizontal="center"/>
    </xf>
    <xf numFmtId="164" fontId="11" fillId="0" borderId="26" xfId="1" applyFont="1" applyBorder="1"/>
    <xf numFmtId="164" fontId="13" fillId="2" borderId="35" xfId="1" applyFont="1" applyFill="1" applyBorder="1"/>
    <xf numFmtId="0" fontId="7" fillId="2" borderId="4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164" fontId="13" fillId="2" borderId="16" xfId="1" applyFont="1" applyFill="1" applyBorder="1" applyAlignment="1">
      <alignment horizontal="center"/>
    </xf>
    <xf numFmtId="164" fontId="13" fillId="2" borderId="32" xfId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/>
    </xf>
    <xf numFmtId="0" fontId="8" fillId="2" borderId="34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520065</xdr:colOff>
      <xdr:row>10</xdr:row>
      <xdr:rowOff>200025</xdr:rowOff>
    </xdr:from>
    <xdr:to>
      <xdr:col>3</xdr:col>
      <xdr:colOff>794384</xdr:colOff>
      <xdr:row>10</xdr:row>
      <xdr:rowOff>381000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3ED68A8-E417-4EAF-ABF2-2D0987A85CC1}"/>
            </a:ext>
          </a:extLst>
        </xdr:cNvPr>
        <xdr:cNvSpPr/>
      </xdr:nvSpPr>
      <xdr:spPr>
        <a:xfrm>
          <a:off x="3225165" y="6086475"/>
          <a:ext cx="274319" cy="18097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th-TH"/>
        </a:p>
      </xdr:txBody>
    </xdr:sp>
    <xdr:clientData/>
  </xdr:twoCellAnchor>
  <xdr:twoCellAnchor>
    <xdr:from>
      <xdr:col>3</xdr:col>
      <xdr:colOff>520065</xdr:colOff>
      <xdr:row>11</xdr:row>
      <xdr:rowOff>114300</xdr:rowOff>
    </xdr:from>
    <xdr:to>
      <xdr:col>3</xdr:col>
      <xdr:colOff>794384</xdr:colOff>
      <xdr:row>11</xdr:row>
      <xdr:rowOff>295275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F5C7EF4-0FF2-46D8-BEF8-1FE2ABDE8B07}"/>
            </a:ext>
          </a:extLst>
        </xdr:cNvPr>
        <xdr:cNvSpPr/>
      </xdr:nvSpPr>
      <xdr:spPr>
        <a:xfrm>
          <a:off x="3225165" y="6448425"/>
          <a:ext cx="274319" cy="18097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th-TH"/>
        </a:p>
      </xdr:txBody>
    </xdr:sp>
    <xdr:clientData/>
  </xdr:twoCellAnchor>
  <xdr:twoCellAnchor editAs="oneCell">
    <xdr:from>
      <xdr:col>3</xdr:col>
      <xdr:colOff>542636</xdr:colOff>
      <xdr:row>11</xdr:row>
      <xdr:rowOff>80818</xdr:rowOff>
    </xdr:from>
    <xdr:to>
      <xdr:col>3</xdr:col>
      <xdr:colOff>798946</xdr:colOff>
      <xdr:row>11</xdr:row>
      <xdr:rowOff>337128</xdr:rowOff>
    </xdr:to>
    <xdr:pic>
      <xdr:nvPicPr>
        <xdr:cNvPr id="5" name="Graphic 4" descr="Checkmark with solid fill">
          <a:extLst>
            <a:ext uri="{FF2B5EF4-FFF2-40B4-BE49-F238E27FC236}">
              <a16:creationId xmlns:a16="http://schemas.microsoft.com/office/drawing/2014/main" id="{1FB37893-B1D0-5B5D-80EE-491022515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48545" y="3740727"/>
          <a:ext cx="256310" cy="256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8EA0C-7A70-4127-BB7D-ACD0BD1EB52B}">
  <sheetPr>
    <pageSetUpPr fitToPage="1"/>
  </sheetPr>
  <dimension ref="A1:Q20"/>
  <sheetViews>
    <sheetView tabSelected="1" topLeftCell="A2" zoomScale="103" zoomScaleNormal="85" workbookViewId="0">
      <selection activeCell="E3" sqref="E3:E4"/>
    </sheetView>
  </sheetViews>
  <sheetFormatPr defaultColWidth="9.109375" defaultRowHeight="23.4" x14ac:dyDescent="0.6"/>
  <cols>
    <col min="1" max="1" width="6.44140625" style="1" customWidth="1"/>
    <col min="2" max="2" width="17.109375" style="26" customWidth="1"/>
    <col min="3" max="3" width="21" style="1" customWidth="1"/>
    <col min="4" max="4" width="12.77734375" style="1" customWidth="1"/>
    <col min="5" max="5" width="13.109375" style="26" customWidth="1"/>
    <col min="6" max="6" width="23.77734375" style="1" customWidth="1"/>
    <col min="7" max="9" width="13.44140625" style="1" customWidth="1"/>
    <col min="10" max="10" width="14.33203125" style="28" customWidth="1"/>
    <col min="11" max="11" width="13" style="1" customWidth="1"/>
    <col min="12" max="12" width="14.6640625" style="1" customWidth="1"/>
    <col min="13" max="14" width="11.33203125" style="1" hidden="1" customWidth="1"/>
    <col min="15" max="15" width="12.33203125" style="1" customWidth="1"/>
    <col min="16" max="16" width="15.109375" style="1" customWidth="1"/>
    <col min="17" max="17" width="17.6640625" style="1" hidden="1" customWidth="1"/>
    <col min="18" max="257" width="9.109375" style="1"/>
    <col min="258" max="258" width="6.44140625" style="1" customWidth="1"/>
    <col min="259" max="259" width="17.109375" style="1" customWidth="1"/>
    <col min="260" max="260" width="16.77734375" style="1" customWidth="1"/>
    <col min="261" max="261" width="12.77734375" style="1" customWidth="1"/>
    <col min="262" max="262" width="13.109375" style="1" customWidth="1"/>
    <col min="263" max="263" width="12.44140625" style="1" customWidth="1"/>
    <col min="264" max="265" width="13.44140625" style="1" customWidth="1"/>
    <col min="266" max="266" width="14.33203125" style="1" customWidth="1"/>
    <col min="267" max="267" width="13" style="1" customWidth="1"/>
    <col min="268" max="268" width="14.6640625" style="1" customWidth="1"/>
    <col min="269" max="270" width="0" style="1" hidden="1" customWidth="1"/>
    <col min="271" max="271" width="12.33203125" style="1" customWidth="1"/>
    <col min="272" max="272" width="15.109375" style="1" customWidth="1"/>
    <col min="273" max="273" width="0" style="1" hidden="1" customWidth="1"/>
    <col min="274" max="513" width="9.109375" style="1"/>
    <col min="514" max="514" width="6.44140625" style="1" customWidth="1"/>
    <col min="515" max="515" width="17.109375" style="1" customWidth="1"/>
    <col min="516" max="516" width="16.77734375" style="1" customWidth="1"/>
    <col min="517" max="517" width="12.77734375" style="1" customWidth="1"/>
    <col min="518" max="518" width="13.109375" style="1" customWidth="1"/>
    <col min="519" max="519" width="12.44140625" style="1" customWidth="1"/>
    <col min="520" max="521" width="13.44140625" style="1" customWidth="1"/>
    <col min="522" max="522" width="14.33203125" style="1" customWidth="1"/>
    <col min="523" max="523" width="13" style="1" customWidth="1"/>
    <col min="524" max="524" width="14.6640625" style="1" customWidth="1"/>
    <col min="525" max="526" width="0" style="1" hidden="1" customWidth="1"/>
    <col min="527" max="527" width="12.33203125" style="1" customWidth="1"/>
    <col min="528" max="528" width="15.109375" style="1" customWidth="1"/>
    <col min="529" max="529" width="0" style="1" hidden="1" customWidth="1"/>
    <col min="530" max="769" width="9.109375" style="1"/>
    <col min="770" max="770" width="6.44140625" style="1" customWidth="1"/>
    <col min="771" max="771" width="17.109375" style="1" customWidth="1"/>
    <col min="772" max="772" width="16.77734375" style="1" customWidth="1"/>
    <col min="773" max="773" width="12.77734375" style="1" customWidth="1"/>
    <col min="774" max="774" width="13.109375" style="1" customWidth="1"/>
    <col min="775" max="775" width="12.44140625" style="1" customWidth="1"/>
    <col min="776" max="777" width="13.44140625" style="1" customWidth="1"/>
    <col min="778" max="778" width="14.33203125" style="1" customWidth="1"/>
    <col min="779" max="779" width="13" style="1" customWidth="1"/>
    <col min="780" max="780" width="14.6640625" style="1" customWidth="1"/>
    <col min="781" max="782" width="0" style="1" hidden="1" customWidth="1"/>
    <col min="783" max="783" width="12.33203125" style="1" customWidth="1"/>
    <col min="784" max="784" width="15.109375" style="1" customWidth="1"/>
    <col min="785" max="785" width="0" style="1" hidden="1" customWidth="1"/>
    <col min="786" max="1025" width="9.109375" style="1"/>
    <col min="1026" max="1026" width="6.44140625" style="1" customWidth="1"/>
    <col min="1027" max="1027" width="17.109375" style="1" customWidth="1"/>
    <col min="1028" max="1028" width="16.77734375" style="1" customWidth="1"/>
    <col min="1029" max="1029" width="12.77734375" style="1" customWidth="1"/>
    <col min="1030" max="1030" width="13.109375" style="1" customWidth="1"/>
    <col min="1031" max="1031" width="12.44140625" style="1" customWidth="1"/>
    <col min="1032" max="1033" width="13.44140625" style="1" customWidth="1"/>
    <col min="1034" max="1034" width="14.33203125" style="1" customWidth="1"/>
    <col min="1035" max="1035" width="13" style="1" customWidth="1"/>
    <col min="1036" max="1036" width="14.6640625" style="1" customWidth="1"/>
    <col min="1037" max="1038" width="0" style="1" hidden="1" customWidth="1"/>
    <col min="1039" max="1039" width="12.33203125" style="1" customWidth="1"/>
    <col min="1040" max="1040" width="15.109375" style="1" customWidth="1"/>
    <col min="1041" max="1041" width="0" style="1" hidden="1" customWidth="1"/>
    <col min="1042" max="1281" width="9.109375" style="1"/>
    <col min="1282" max="1282" width="6.44140625" style="1" customWidth="1"/>
    <col min="1283" max="1283" width="17.109375" style="1" customWidth="1"/>
    <col min="1284" max="1284" width="16.77734375" style="1" customWidth="1"/>
    <col min="1285" max="1285" width="12.77734375" style="1" customWidth="1"/>
    <col min="1286" max="1286" width="13.109375" style="1" customWidth="1"/>
    <col min="1287" max="1287" width="12.44140625" style="1" customWidth="1"/>
    <col min="1288" max="1289" width="13.44140625" style="1" customWidth="1"/>
    <col min="1290" max="1290" width="14.33203125" style="1" customWidth="1"/>
    <col min="1291" max="1291" width="13" style="1" customWidth="1"/>
    <col min="1292" max="1292" width="14.6640625" style="1" customWidth="1"/>
    <col min="1293" max="1294" width="0" style="1" hidden="1" customWidth="1"/>
    <col min="1295" max="1295" width="12.33203125" style="1" customWidth="1"/>
    <col min="1296" max="1296" width="15.109375" style="1" customWidth="1"/>
    <col min="1297" max="1297" width="0" style="1" hidden="1" customWidth="1"/>
    <col min="1298" max="1537" width="9.109375" style="1"/>
    <col min="1538" max="1538" width="6.44140625" style="1" customWidth="1"/>
    <col min="1539" max="1539" width="17.109375" style="1" customWidth="1"/>
    <col min="1540" max="1540" width="16.77734375" style="1" customWidth="1"/>
    <col min="1541" max="1541" width="12.77734375" style="1" customWidth="1"/>
    <col min="1542" max="1542" width="13.109375" style="1" customWidth="1"/>
    <col min="1543" max="1543" width="12.44140625" style="1" customWidth="1"/>
    <col min="1544" max="1545" width="13.44140625" style="1" customWidth="1"/>
    <col min="1546" max="1546" width="14.33203125" style="1" customWidth="1"/>
    <col min="1547" max="1547" width="13" style="1" customWidth="1"/>
    <col min="1548" max="1548" width="14.6640625" style="1" customWidth="1"/>
    <col min="1549" max="1550" width="0" style="1" hidden="1" customWidth="1"/>
    <col min="1551" max="1551" width="12.33203125" style="1" customWidth="1"/>
    <col min="1552" max="1552" width="15.109375" style="1" customWidth="1"/>
    <col min="1553" max="1553" width="0" style="1" hidden="1" customWidth="1"/>
    <col min="1554" max="1793" width="9.109375" style="1"/>
    <col min="1794" max="1794" width="6.44140625" style="1" customWidth="1"/>
    <col min="1795" max="1795" width="17.109375" style="1" customWidth="1"/>
    <col min="1796" max="1796" width="16.77734375" style="1" customWidth="1"/>
    <col min="1797" max="1797" width="12.77734375" style="1" customWidth="1"/>
    <col min="1798" max="1798" width="13.109375" style="1" customWidth="1"/>
    <col min="1799" max="1799" width="12.44140625" style="1" customWidth="1"/>
    <col min="1800" max="1801" width="13.44140625" style="1" customWidth="1"/>
    <col min="1802" max="1802" width="14.33203125" style="1" customWidth="1"/>
    <col min="1803" max="1803" width="13" style="1" customWidth="1"/>
    <col min="1804" max="1804" width="14.6640625" style="1" customWidth="1"/>
    <col min="1805" max="1806" width="0" style="1" hidden="1" customWidth="1"/>
    <col min="1807" max="1807" width="12.33203125" style="1" customWidth="1"/>
    <col min="1808" max="1808" width="15.109375" style="1" customWidth="1"/>
    <col min="1809" max="1809" width="0" style="1" hidden="1" customWidth="1"/>
    <col min="1810" max="2049" width="9.109375" style="1"/>
    <col min="2050" max="2050" width="6.44140625" style="1" customWidth="1"/>
    <col min="2051" max="2051" width="17.109375" style="1" customWidth="1"/>
    <col min="2052" max="2052" width="16.77734375" style="1" customWidth="1"/>
    <col min="2053" max="2053" width="12.77734375" style="1" customWidth="1"/>
    <col min="2054" max="2054" width="13.109375" style="1" customWidth="1"/>
    <col min="2055" max="2055" width="12.44140625" style="1" customWidth="1"/>
    <col min="2056" max="2057" width="13.44140625" style="1" customWidth="1"/>
    <col min="2058" max="2058" width="14.33203125" style="1" customWidth="1"/>
    <col min="2059" max="2059" width="13" style="1" customWidth="1"/>
    <col min="2060" max="2060" width="14.6640625" style="1" customWidth="1"/>
    <col min="2061" max="2062" width="0" style="1" hidden="1" customWidth="1"/>
    <col min="2063" max="2063" width="12.33203125" style="1" customWidth="1"/>
    <col min="2064" max="2064" width="15.109375" style="1" customWidth="1"/>
    <col min="2065" max="2065" width="0" style="1" hidden="1" customWidth="1"/>
    <col min="2066" max="2305" width="9.109375" style="1"/>
    <col min="2306" max="2306" width="6.44140625" style="1" customWidth="1"/>
    <col min="2307" max="2307" width="17.109375" style="1" customWidth="1"/>
    <col min="2308" max="2308" width="16.77734375" style="1" customWidth="1"/>
    <col min="2309" max="2309" width="12.77734375" style="1" customWidth="1"/>
    <col min="2310" max="2310" width="13.109375" style="1" customWidth="1"/>
    <col min="2311" max="2311" width="12.44140625" style="1" customWidth="1"/>
    <col min="2312" max="2313" width="13.44140625" style="1" customWidth="1"/>
    <col min="2314" max="2314" width="14.33203125" style="1" customWidth="1"/>
    <col min="2315" max="2315" width="13" style="1" customWidth="1"/>
    <col min="2316" max="2316" width="14.6640625" style="1" customWidth="1"/>
    <col min="2317" max="2318" width="0" style="1" hidden="1" customWidth="1"/>
    <col min="2319" max="2319" width="12.33203125" style="1" customWidth="1"/>
    <col min="2320" max="2320" width="15.109375" style="1" customWidth="1"/>
    <col min="2321" max="2321" width="0" style="1" hidden="1" customWidth="1"/>
    <col min="2322" max="2561" width="9.109375" style="1"/>
    <col min="2562" max="2562" width="6.44140625" style="1" customWidth="1"/>
    <col min="2563" max="2563" width="17.109375" style="1" customWidth="1"/>
    <col min="2564" max="2564" width="16.77734375" style="1" customWidth="1"/>
    <col min="2565" max="2565" width="12.77734375" style="1" customWidth="1"/>
    <col min="2566" max="2566" width="13.109375" style="1" customWidth="1"/>
    <col min="2567" max="2567" width="12.44140625" style="1" customWidth="1"/>
    <col min="2568" max="2569" width="13.44140625" style="1" customWidth="1"/>
    <col min="2570" max="2570" width="14.33203125" style="1" customWidth="1"/>
    <col min="2571" max="2571" width="13" style="1" customWidth="1"/>
    <col min="2572" max="2572" width="14.6640625" style="1" customWidth="1"/>
    <col min="2573" max="2574" width="0" style="1" hidden="1" customWidth="1"/>
    <col min="2575" max="2575" width="12.33203125" style="1" customWidth="1"/>
    <col min="2576" max="2576" width="15.109375" style="1" customWidth="1"/>
    <col min="2577" max="2577" width="0" style="1" hidden="1" customWidth="1"/>
    <col min="2578" max="2817" width="9.109375" style="1"/>
    <col min="2818" max="2818" width="6.44140625" style="1" customWidth="1"/>
    <col min="2819" max="2819" width="17.109375" style="1" customWidth="1"/>
    <col min="2820" max="2820" width="16.77734375" style="1" customWidth="1"/>
    <col min="2821" max="2821" width="12.77734375" style="1" customWidth="1"/>
    <col min="2822" max="2822" width="13.109375" style="1" customWidth="1"/>
    <col min="2823" max="2823" width="12.44140625" style="1" customWidth="1"/>
    <col min="2824" max="2825" width="13.44140625" style="1" customWidth="1"/>
    <col min="2826" max="2826" width="14.33203125" style="1" customWidth="1"/>
    <col min="2827" max="2827" width="13" style="1" customWidth="1"/>
    <col min="2828" max="2828" width="14.6640625" style="1" customWidth="1"/>
    <col min="2829" max="2830" width="0" style="1" hidden="1" customWidth="1"/>
    <col min="2831" max="2831" width="12.33203125" style="1" customWidth="1"/>
    <col min="2832" max="2832" width="15.109375" style="1" customWidth="1"/>
    <col min="2833" max="2833" width="0" style="1" hidden="1" customWidth="1"/>
    <col min="2834" max="3073" width="9.109375" style="1"/>
    <col min="3074" max="3074" width="6.44140625" style="1" customWidth="1"/>
    <col min="3075" max="3075" width="17.109375" style="1" customWidth="1"/>
    <col min="3076" max="3076" width="16.77734375" style="1" customWidth="1"/>
    <col min="3077" max="3077" width="12.77734375" style="1" customWidth="1"/>
    <col min="3078" max="3078" width="13.109375" style="1" customWidth="1"/>
    <col min="3079" max="3079" width="12.44140625" style="1" customWidth="1"/>
    <col min="3080" max="3081" width="13.44140625" style="1" customWidth="1"/>
    <col min="3082" max="3082" width="14.33203125" style="1" customWidth="1"/>
    <col min="3083" max="3083" width="13" style="1" customWidth="1"/>
    <col min="3084" max="3084" width="14.6640625" style="1" customWidth="1"/>
    <col min="3085" max="3086" width="0" style="1" hidden="1" customWidth="1"/>
    <col min="3087" max="3087" width="12.33203125" style="1" customWidth="1"/>
    <col min="3088" max="3088" width="15.109375" style="1" customWidth="1"/>
    <col min="3089" max="3089" width="0" style="1" hidden="1" customWidth="1"/>
    <col min="3090" max="3329" width="9.109375" style="1"/>
    <col min="3330" max="3330" width="6.44140625" style="1" customWidth="1"/>
    <col min="3331" max="3331" width="17.109375" style="1" customWidth="1"/>
    <col min="3332" max="3332" width="16.77734375" style="1" customWidth="1"/>
    <col min="3333" max="3333" width="12.77734375" style="1" customWidth="1"/>
    <col min="3334" max="3334" width="13.109375" style="1" customWidth="1"/>
    <col min="3335" max="3335" width="12.44140625" style="1" customWidth="1"/>
    <col min="3336" max="3337" width="13.44140625" style="1" customWidth="1"/>
    <col min="3338" max="3338" width="14.33203125" style="1" customWidth="1"/>
    <col min="3339" max="3339" width="13" style="1" customWidth="1"/>
    <col min="3340" max="3340" width="14.6640625" style="1" customWidth="1"/>
    <col min="3341" max="3342" width="0" style="1" hidden="1" customWidth="1"/>
    <col min="3343" max="3343" width="12.33203125" style="1" customWidth="1"/>
    <col min="3344" max="3344" width="15.109375" style="1" customWidth="1"/>
    <col min="3345" max="3345" width="0" style="1" hidden="1" customWidth="1"/>
    <col min="3346" max="3585" width="9.109375" style="1"/>
    <col min="3586" max="3586" width="6.44140625" style="1" customWidth="1"/>
    <col min="3587" max="3587" width="17.109375" style="1" customWidth="1"/>
    <col min="3588" max="3588" width="16.77734375" style="1" customWidth="1"/>
    <col min="3589" max="3589" width="12.77734375" style="1" customWidth="1"/>
    <col min="3590" max="3590" width="13.109375" style="1" customWidth="1"/>
    <col min="3591" max="3591" width="12.44140625" style="1" customWidth="1"/>
    <col min="3592" max="3593" width="13.44140625" style="1" customWidth="1"/>
    <col min="3594" max="3594" width="14.33203125" style="1" customWidth="1"/>
    <col min="3595" max="3595" width="13" style="1" customWidth="1"/>
    <col min="3596" max="3596" width="14.6640625" style="1" customWidth="1"/>
    <col min="3597" max="3598" width="0" style="1" hidden="1" customWidth="1"/>
    <col min="3599" max="3599" width="12.33203125" style="1" customWidth="1"/>
    <col min="3600" max="3600" width="15.109375" style="1" customWidth="1"/>
    <col min="3601" max="3601" width="0" style="1" hidden="1" customWidth="1"/>
    <col min="3602" max="3841" width="9.109375" style="1"/>
    <col min="3842" max="3842" width="6.44140625" style="1" customWidth="1"/>
    <col min="3843" max="3843" width="17.109375" style="1" customWidth="1"/>
    <col min="3844" max="3844" width="16.77734375" style="1" customWidth="1"/>
    <col min="3845" max="3845" width="12.77734375" style="1" customWidth="1"/>
    <col min="3846" max="3846" width="13.109375" style="1" customWidth="1"/>
    <col min="3847" max="3847" width="12.44140625" style="1" customWidth="1"/>
    <col min="3848" max="3849" width="13.44140625" style="1" customWidth="1"/>
    <col min="3850" max="3850" width="14.33203125" style="1" customWidth="1"/>
    <col min="3851" max="3851" width="13" style="1" customWidth="1"/>
    <col min="3852" max="3852" width="14.6640625" style="1" customWidth="1"/>
    <col min="3853" max="3854" width="0" style="1" hidden="1" customWidth="1"/>
    <col min="3855" max="3855" width="12.33203125" style="1" customWidth="1"/>
    <col min="3856" max="3856" width="15.109375" style="1" customWidth="1"/>
    <col min="3857" max="3857" width="0" style="1" hidden="1" customWidth="1"/>
    <col min="3858" max="4097" width="9.109375" style="1"/>
    <col min="4098" max="4098" width="6.44140625" style="1" customWidth="1"/>
    <col min="4099" max="4099" width="17.109375" style="1" customWidth="1"/>
    <col min="4100" max="4100" width="16.77734375" style="1" customWidth="1"/>
    <col min="4101" max="4101" width="12.77734375" style="1" customWidth="1"/>
    <col min="4102" max="4102" width="13.109375" style="1" customWidth="1"/>
    <col min="4103" max="4103" width="12.44140625" style="1" customWidth="1"/>
    <col min="4104" max="4105" width="13.44140625" style="1" customWidth="1"/>
    <col min="4106" max="4106" width="14.33203125" style="1" customWidth="1"/>
    <col min="4107" max="4107" width="13" style="1" customWidth="1"/>
    <col min="4108" max="4108" width="14.6640625" style="1" customWidth="1"/>
    <col min="4109" max="4110" width="0" style="1" hidden="1" customWidth="1"/>
    <col min="4111" max="4111" width="12.33203125" style="1" customWidth="1"/>
    <col min="4112" max="4112" width="15.109375" style="1" customWidth="1"/>
    <col min="4113" max="4113" width="0" style="1" hidden="1" customWidth="1"/>
    <col min="4114" max="4353" width="9.109375" style="1"/>
    <col min="4354" max="4354" width="6.44140625" style="1" customWidth="1"/>
    <col min="4355" max="4355" width="17.109375" style="1" customWidth="1"/>
    <col min="4356" max="4356" width="16.77734375" style="1" customWidth="1"/>
    <col min="4357" max="4357" width="12.77734375" style="1" customWidth="1"/>
    <col min="4358" max="4358" width="13.109375" style="1" customWidth="1"/>
    <col min="4359" max="4359" width="12.44140625" style="1" customWidth="1"/>
    <col min="4360" max="4361" width="13.44140625" style="1" customWidth="1"/>
    <col min="4362" max="4362" width="14.33203125" style="1" customWidth="1"/>
    <col min="4363" max="4363" width="13" style="1" customWidth="1"/>
    <col min="4364" max="4364" width="14.6640625" style="1" customWidth="1"/>
    <col min="4365" max="4366" width="0" style="1" hidden="1" customWidth="1"/>
    <col min="4367" max="4367" width="12.33203125" style="1" customWidth="1"/>
    <col min="4368" max="4368" width="15.109375" style="1" customWidth="1"/>
    <col min="4369" max="4369" width="0" style="1" hidden="1" customWidth="1"/>
    <col min="4370" max="4609" width="9.109375" style="1"/>
    <col min="4610" max="4610" width="6.44140625" style="1" customWidth="1"/>
    <col min="4611" max="4611" width="17.109375" style="1" customWidth="1"/>
    <col min="4612" max="4612" width="16.77734375" style="1" customWidth="1"/>
    <col min="4613" max="4613" width="12.77734375" style="1" customWidth="1"/>
    <col min="4614" max="4614" width="13.109375" style="1" customWidth="1"/>
    <col min="4615" max="4615" width="12.44140625" style="1" customWidth="1"/>
    <col min="4616" max="4617" width="13.44140625" style="1" customWidth="1"/>
    <col min="4618" max="4618" width="14.33203125" style="1" customWidth="1"/>
    <col min="4619" max="4619" width="13" style="1" customWidth="1"/>
    <col min="4620" max="4620" width="14.6640625" style="1" customWidth="1"/>
    <col min="4621" max="4622" width="0" style="1" hidden="1" customWidth="1"/>
    <col min="4623" max="4623" width="12.33203125" style="1" customWidth="1"/>
    <col min="4624" max="4624" width="15.109375" style="1" customWidth="1"/>
    <col min="4625" max="4625" width="0" style="1" hidden="1" customWidth="1"/>
    <col min="4626" max="4865" width="9.109375" style="1"/>
    <col min="4866" max="4866" width="6.44140625" style="1" customWidth="1"/>
    <col min="4867" max="4867" width="17.109375" style="1" customWidth="1"/>
    <col min="4868" max="4868" width="16.77734375" style="1" customWidth="1"/>
    <col min="4869" max="4869" width="12.77734375" style="1" customWidth="1"/>
    <col min="4870" max="4870" width="13.109375" style="1" customWidth="1"/>
    <col min="4871" max="4871" width="12.44140625" style="1" customWidth="1"/>
    <col min="4872" max="4873" width="13.44140625" style="1" customWidth="1"/>
    <col min="4874" max="4874" width="14.33203125" style="1" customWidth="1"/>
    <col min="4875" max="4875" width="13" style="1" customWidth="1"/>
    <col min="4876" max="4876" width="14.6640625" style="1" customWidth="1"/>
    <col min="4877" max="4878" width="0" style="1" hidden="1" customWidth="1"/>
    <col min="4879" max="4879" width="12.33203125" style="1" customWidth="1"/>
    <col min="4880" max="4880" width="15.109375" style="1" customWidth="1"/>
    <col min="4881" max="4881" width="0" style="1" hidden="1" customWidth="1"/>
    <col min="4882" max="5121" width="9.109375" style="1"/>
    <col min="5122" max="5122" width="6.44140625" style="1" customWidth="1"/>
    <col min="5123" max="5123" width="17.109375" style="1" customWidth="1"/>
    <col min="5124" max="5124" width="16.77734375" style="1" customWidth="1"/>
    <col min="5125" max="5125" width="12.77734375" style="1" customWidth="1"/>
    <col min="5126" max="5126" width="13.109375" style="1" customWidth="1"/>
    <col min="5127" max="5127" width="12.44140625" style="1" customWidth="1"/>
    <col min="5128" max="5129" width="13.44140625" style="1" customWidth="1"/>
    <col min="5130" max="5130" width="14.33203125" style="1" customWidth="1"/>
    <col min="5131" max="5131" width="13" style="1" customWidth="1"/>
    <col min="5132" max="5132" width="14.6640625" style="1" customWidth="1"/>
    <col min="5133" max="5134" width="0" style="1" hidden="1" customWidth="1"/>
    <col min="5135" max="5135" width="12.33203125" style="1" customWidth="1"/>
    <col min="5136" max="5136" width="15.109375" style="1" customWidth="1"/>
    <col min="5137" max="5137" width="0" style="1" hidden="1" customWidth="1"/>
    <col min="5138" max="5377" width="9.109375" style="1"/>
    <col min="5378" max="5378" width="6.44140625" style="1" customWidth="1"/>
    <col min="5379" max="5379" width="17.109375" style="1" customWidth="1"/>
    <col min="5380" max="5380" width="16.77734375" style="1" customWidth="1"/>
    <col min="5381" max="5381" width="12.77734375" style="1" customWidth="1"/>
    <col min="5382" max="5382" width="13.109375" style="1" customWidth="1"/>
    <col min="5383" max="5383" width="12.44140625" style="1" customWidth="1"/>
    <col min="5384" max="5385" width="13.44140625" style="1" customWidth="1"/>
    <col min="5386" max="5386" width="14.33203125" style="1" customWidth="1"/>
    <col min="5387" max="5387" width="13" style="1" customWidth="1"/>
    <col min="5388" max="5388" width="14.6640625" style="1" customWidth="1"/>
    <col min="5389" max="5390" width="0" style="1" hidden="1" customWidth="1"/>
    <col min="5391" max="5391" width="12.33203125" style="1" customWidth="1"/>
    <col min="5392" max="5392" width="15.109375" style="1" customWidth="1"/>
    <col min="5393" max="5393" width="0" style="1" hidden="1" customWidth="1"/>
    <col min="5394" max="5633" width="9.109375" style="1"/>
    <col min="5634" max="5634" width="6.44140625" style="1" customWidth="1"/>
    <col min="5635" max="5635" width="17.109375" style="1" customWidth="1"/>
    <col min="5636" max="5636" width="16.77734375" style="1" customWidth="1"/>
    <col min="5637" max="5637" width="12.77734375" style="1" customWidth="1"/>
    <col min="5638" max="5638" width="13.109375" style="1" customWidth="1"/>
    <col min="5639" max="5639" width="12.44140625" style="1" customWidth="1"/>
    <col min="5640" max="5641" width="13.44140625" style="1" customWidth="1"/>
    <col min="5642" max="5642" width="14.33203125" style="1" customWidth="1"/>
    <col min="5643" max="5643" width="13" style="1" customWidth="1"/>
    <col min="5644" max="5644" width="14.6640625" style="1" customWidth="1"/>
    <col min="5645" max="5646" width="0" style="1" hidden="1" customWidth="1"/>
    <col min="5647" max="5647" width="12.33203125" style="1" customWidth="1"/>
    <col min="5648" max="5648" width="15.109375" style="1" customWidth="1"/>
    <col min="5649" max="5649" width="0" style="1" hidden="1" customWidth="1"/>
    <col min="5650" max="5889" width="9.109375" style="1"/>
    <col min="5890" max="5890" width="6.44140625" style="1" customWidth="1"/>
    <col min="5891" max="5891" width="17.109375" style="1" customWidth="1"/>
    <col min="5892" max="5892" width="16.77734375" style="1" customWidth="1"/>
    <col min="5893" max="5893" width="12.77734375" style="1" customWidth="1"/>
    <col min="5894" max="5894" width="13.109375" style="1" customWidth="1"/>
    <col min="5895" max="5895" width="12.44140625" style="1" customWidth="1"/>
    <col min="5896" max="5897" width="13.44140625" style="1" customWidth="1"/>
    <col min="5898" max="5898" width="14.33203125" style="1" customWidth="1"/>
    <col min="5899" max="5899" width="13" style="1" customWidth="1"/>
    <col min="5900" max="5900" width="14.6640625" style="1" customWidth="1"/>
    <col min="5901" max="5902" width="0" style="1" hidden="1" customWidth="1"/>
    <col min="5903" max="5903" width="12.33203125" style="1" customWidth="1"/>
    <col min="5904" max="5904" width="15.109375" style="1" customWidth="1"/>
    <col min="5905" max="5905" width="0" style="1" hidden="1" customWidth="1"/>
    <col min="5906" max="6145" width="9.109375" style="1"/>
    <col min="6146" max="6146" width="6.44140625" style="1" customWidth="1"/>
    <col min="6147" max="6147" width="17.109375" style="1" customWidth="1"/>
    <col min="6148" max="6148" width="16.77734375" style="1" customWidth="1"/>
    <col min="6149" max="6149" width="12.77734375" style="1" customWidth="1"/>
    <col min="6150" max="6150" width="13.109375" style="1" customWidth="1"/>
    <col min="6151" max="6151" width="12.44140625" style="1" customWidth="1"/>
    <col min="6152" max="6153" width="13.44140625" style="1" customWidth="1"/>
    <col min="6154" max="6154" width="14.33203125" style="1" customWidth="1"/>
    <col min="6155" max="6155" width="13" style="1" customWidth="1"/>
    <col min="6156" max="6156" width="14.6640625" style="1" customWidth="1"/>
    <col min="6157" max="6158" width="0" style="1" hidden="1" customWidth="1"/>
    <col min="6159" max="6159" width="12.33203125" style="1" customWidth="1"/>
    <col min="6160" max="6160" width="15.109375" style="1" customWidth="1"/>
    <col min="6161" max="6161" width="0" style="1" hidden="1" customWidth="1"/>
    <col min="6162" max="6401" width="9.109375" style="1"/>
    <col min="6402" max="6402" width="6.44140625" style="1" customWidth="1"/>
    <col min="6403" max="6403" width="17.109375" style="1" customWidth="1"/>
    <col min="6404" max="6404" width="16.77734375" style="1" customWidth="1"/>
    <col min="6405" max="6405" width="12.77734375" style="1" customWidth="1"/>
    <col min="6406" max="6406" width="13.109375" style="1" customWidth="1"/>
    <col min="6407" max="6407" width="12.44140625" style="1" customWidth="1"/>
    <col min="6408" max="6409" width="13.44140625" style="1" customWidth="1"/>
    <col min="6410" max="6410" width="14.33203125" style="1" customWidth="1"/>
    <col min="6411" max="6411" width="13" style="1" customWidth="1"/>
    <col min="6412" max="6412" width="14.6640625" style="1" customWidth="1"/>
    <col min="6413" max="6414" width="0" style="1" hidden="1" customWidth="1"/>
    <col min="6415" max="6415" width="12.33203125" style="1" customWidth="1"/>
    <col min="6416" max="6416" width="15.109375" style="1" customWidth="1"/>
    <col min="6417" max="6417" width="0" style="1" hidden="1" customWidth="1"/>
    <col min="6418" max="6657" width="9.109375" style="1"/>
    <col min="6658" max="6658" width="6.44140625" style="1" customWidth="1"/>
    <col min="6659" max="6659" width="17.109375" style="1" customWidth="1"/>
    <col min="6660" max="6660" width="16.77734375" style="1" customWidth="1"/>
    <col min="6661" max="6661" width="12.77734375" style="1" customWidth="1"/>
    <col min="6662" max="6662" width="13.109375" style="1" customWidth="1"/>
    <col min="6663" max="6663" width="12.44140625" style="1" customWidth="1"/>
    <col min="6664" max="6665" width="13.44140625" style="1" customWidth="1"/>
    <col min="6666" max="6666" width="14.33203125" style="1" customWidth="1"/>
    <col min="6667" max="6667" width="13" style="1" customWidth="1"/>
    <col min="6668" max="6668" width="14.6640625" style="1" customWidth="1"/>
    <col min="6669" max="6670" width="0" style="1" hidden="1" customWidth="1"/>
    <col min="6671" max="6671" width="12.33203125" style="1" customWidth="1"/>
    <col min="6672" max="6672" width="15.109375" style="1" customWidth="1"/>
    <col min="6673" max="6673" width="0" style="1" hidden="1" customWidth="1"/>
    <col min="6674" max="6913" width="9.109375" style="1"/>
    <col min="6914" max="6914" width="6.44140625" style="1" customWidth="1"/>
    <col min="6915" max="6915" width="17.109375" style="1" customWidth="1"/>
    <col min="6916" max="6916" width="16.77734375" style="1" customWidth="1"/>
    <col min="6917" max="6917" width="12.77734375" style="1" customWidth="1"/>
    <col min="6918" max="6918" width="13.109375" style="1" customWidth="1"/>
    <col min="6919" max="6919" width="12.44140625" style="1" customWidth="1"/>
    <col min="6920" max="6921" width="13.44140625" style="1" customWidth="1"/>
    <col min="6922" max="6922" width="14.33203125" style="1" customWidth="1"/>
    <col min="6923" max="6923" width="13" style="1" customWidth="1"/>
    <col min="6924" max="6924" width="14.6640625" style="1" customWidth="1"/>
    <col min="6925" max="6926" width="0" style="1" hidden="1" customWidth="1"/>
    <col min="6927" max="6927" width="12.33203125" style="1" customWidth="1"/>
    <col min="6928" max="6928" width="15.109375" style="1" customWidth="1"/>
    <col min="6929" max="6929" width="0" style="1" hidden="1" customWidth="1"/>
    <col min="6930" max="7169" width="9.109375" style="1"/>
    <col min="7170" max="7170" width="6.44140625" style="1" customWidth="1"/>
    <col min="7171" max="7171" width="17.109375" style="1" customWidth="1"/>
    <col min="7172" max="7172" width="16.77734375" style="1" customWidth="1"/>
    <col min="7173" max="7173" width="12.77734375" style="1" customWidth="1"/>
    <col min="7174" max="7174" width="13.109375" style="1" customWidth="1"/>
    <col min="7175" max="7175" width="12.44140625" style="1" customWidth="1"/>
    <col min="7176" max="7177" width="13.44140625" style="1" customWidth="1"/>
    <col min="7178" max="7178" width="14.33203125" style="1" customWidth="1"/>
    <col min="7179" max="7179" width="13" style="1" customWidth="1"/>
    <col min="7180" max="7180" width="14.6640625" style="1" customWidth="1"/>
    <col min="7181" max="7182" width="0" style="1" hidden="1" customWidth="1"/>
    <col min="7183" max="7183" width="12.33203125" style="1" customWidth="1"/>
    <col min="7184" max="7184" width="15.109375" style="1" customWidth="1"/>
    <col min="7185" max="7185" width="0" style="1" hidden="1" customWidth="1"/>
    <col min="7186" max="7425" width="9.109375" style="1"/>
    <col min="7426" max="7426" width="6.44140625" style="1" customWidth="1"/>
    <col min="7427" max="7427" width="17.109375" style="1" customWidth="1"/>
    <col min="7428" max="7428" width="16.77734375" style="1" customWidth="1"/>
    <col min="7429" max="7429" width="12.77734375" style="1" customWidth="1"/>
    <col min="7430" max="7430" width="13.109375" style="1" customWidth="1"/>
    <col min="7431" max="7431" width="12.44140625" style="1" customWidth="1"/>
    <col min="7432" max="7433" width="13.44140625" style="1" customWidth="1"/>
    <col min="7434" max="7434" width="14.33203125" style="1" customWidth="1"/>
    <col min="7435" max="7435" width="13" style="1" customWidth="1"/>
    <col min="7436" max="7436" width="14.6640625" style="1" customWidth="1"/>
    <col min="7437" max="7438" width="0" style="1" hidden="1" customWidth="1"/>
    <col min="7439" max="7439" width="12.33203125" style="1" customWidth="1"/>
    <col min="7440" max="7440" width="15.109375" style="1" customWidth="1"/>
    <col min="7441" max="7441" width="0" style="1" hidden="1" customWidth="1"/>
    <col min="7442" max="7681" width="9.109375" style="1"/>
    <col min="7682" max="7682" width="6.44140625" style="1" customWidth="1"/>
    <col min="7683" max="7683" width="17.109375" style="1" customWidth="1"/>
    <col min="7684" max="7684" width="16.77734375" style="1" customWidth="1"/>
    <col min="7685" max="7685" width="12.77734375" style="1" customWidth="1"/>
    <col min="7686" max="7686" width="13.109375" style="1" customWidth="1"/>
    <col min="7687" max="7687" width="12.44140625" style="1" customWidth="1"/>
    <col min="7688" max="7689" width="13.44140625" style="1" customWidth="1"/>
    <col min="7690" max="7690" width="14.33203125" style="1" customWidth="1"/>
    <col min="7691" max="7691" width="13" style="1" customWidth="1"/>
    <col min="7692" max="7692" width="14.6640625" style="1" customWidth="1"/>
    <col min="7693" max="7694" width="0" style="1" hidden="1" customWidth="1"/>
    <col min="7695" max="7695" width="12.33203125" style="1" customWidth="1"/>
    <col min="7696" max="7696" width="15.109375" style="1" customWidth="1"/>
    <col min="7697" max="7697" width="0" style="1" hidden="1" customWidth="1"/>
    <col min="7698" max="7937" width="9.109375" style="1"/>
    <col min="7938" max="7938" width="6.44140625" style="1" customWidth="1"/>
    <col min="7939" max="7939" width="17.109375" style="1" customWidth="1"/>
    <col min="7940" max="7940" width="16.77734375" style="1" customWidth="1"/>
    <col min="7941" max="7941" width="12.77734375" style="1" customWidth="1"/>
    <col min="7942" max="7942" width="13.109375" style="1" customWidth="1"/>
    <col min="7943" max="7943" width="12.44140625" style="1" customWidth="1"/>
    <col min="7944" max="7945" width="13.44140625" style="1" customWidth="1"/>
    <col min="7946" max="7946" width="14.33203125" style="1" customWidth="1"/>
    <col min="7947" max="7947" width="13" style="1" customWidth="1"/>
    <col min="7948" max="7948" width="14.6640625" style="1" customWidth="1"/>
    <col min="7949" max="7950" width="0" style="1" hidden="1" customWidth="1"/>
    <col min="7951" max="7951" width="12.33203125" style="1" customWidth="1"/>
    <col min="7952" max="7952" width="15.109375" style="1" customWidth="1"/>
    <col min="7953" max="7953" width="0" style="1" hidden="1" customWidth="1"/>
    <col min="7954" max="8193" width="9.109375" style="1"/>
    <col min="8194" max="8194" width="6.44140625" style="1" customWidth="1"/>
    <col min="8195" max="8195" width="17.109375" style="1" customWidth="1"/>
    <col min="8196" max="8196" width="16.77734375" style="1" customWidth="1"/>
    <col min="8197" max="8197" width="12.77734375" style="1" customWidth="1"/>
    <col min="8198" max="8198" width="13.109375" style="1" customWidth="1"/>
    <col min="8199" max="8199" width="12.44140625" style="1" customWidth="1"/>
    <col min="8200" max="8201" width="13.44140625" style="1" customWidth="1"/>
    <col min="8202" max="8202" width="14.33203125" style="1" customWidth="1"/>
    <col min="8203" max="8203" width="13" style="1" customWidth="1"/>
    <col min="8204" max="8204" width="14.6640625" style="1" customWidth="1"/>
    <col min="8205" max="8206" width="0" style="1" hidden="1" customWidth="1"/>
    <col min="8207" max="8207" width="12.33203125" style="1" customWidth="1"/>
    <col min="8208" max="8208" width="15.109375" style="1" customWidth="1"/>
    <col min="8209" max="8209" width="0" style="1" hidden="1" customWidth="1"/>
    <col min="8210" max="8449" width="9.109375" style="1"/>
    <col min="8450" max="8450" width="6.44140625" style="1" customWidth="1"/>
    <col min="8451" max="8451" width="17.109375" style="1" customWidth="1"/>
    <col min="8452" max="8452" width="16.77734375" style="1" customWidth="1"/>
    <col min="8453" max="8453" width="12.77734375" style="1" customWidth="1"/>
    <col min="8454" max="8454" width="13.109375" style="1" customWidth="1"/>
    <col min="8455" max="8455" width="12.44140625" style="1" customWidth="1"/>
    <col min="8456" max="8457" width="13.44140625" style="1" customWidth="1"/>
    <col min="8458" max="8458" width="14.33203125" style="1" customWidth="1"/>
    <col min="8459" max="8459" width="13" style="1" customWidth="1"/>
    <col min="8460" max="8460" width="14.6640625" style="1" customWidth="1"/>
    <col min="8461" max="8462" width="0" style="1" hidden="1" customWidth="1"/>
    <col min="8463" max="8463" width="12.33203125" style="1" customWidth="1"/>
    <col min="8464" max="8464" width="15.109375" style="1" customWidth="1"/>
    <col min="8465" max="8465" width="0" style="1" hidden="1" customWidth="1"/>
    <col min="8466" max="8705" width="9.109375" style="1"/>
    <col min="8706" max="8706" width="6.44140625" style="1" customWidth="1"/>
    <col min="8707" max="8707" width="17.109375" style="1" customWidth="1"/>
    <col min="8708" max="8708" width="16.77734375" style="1" customWidth="1"/>
    <col min="8709" max="8709" width="12.77734375" style="1" customWidth="1"/>
    <col min="8710" max="8710" width="13.109375" style="1" customWidth="1"/>
    <col min="8711" max="8711" width="12.44140625" style="1" customWidth="1"/>
    <col min="8712" max="8713" width="13.44140625" style="1" customWidth="1"/>
    <col min="8714" max="8714" width="14.33203125" style="1" customWidth="1"/>
    <col min="8715" max="8715" width="13" style="1" customWidth="1"/>
    <col min="8716" max="8716" width="14.6640625" style="1" customWidth="1"/>
    <col min="8717" max="8718" width="0" style="1" hidden="1" customWidth="1"/>
    <col min="8719" max="8719" width="12.33203125" style="1" customWidth="1"/>
    <col min="8720" max="8720" width="15.109375" style="1" customWidth="1"/>
    <col min="8721" max="8721" width="0" style="1" hidden="1" customWidth="1"/>
    <col min="8722" max="8961" width="9.109375" style="1"/>
    <col min="8962" max="8962" width="6.44140625" style="1" customWidth="1"/>
    <col min="8963" max="8963" width="17.109375" style="1" customWidth="1"/>
    <col min="8964" max="8964" width="16.77734375" style="1" customWidth="1"/>
    <col min="8965" max="8965" width="12.77734375" style="1" customWidth="1"/>
    <col min="8966" max="8966" width="13.109375" style="1" customWidth="1"/>
    <col min="8967" max="8967" width="12.44140625" style="1" customWidth="1"/>
    <col min="8968" max="8969" width="13.44140625" style="1" customWidth="1"/>
    <col min="8970" max="8970" width="14.33203125" style="1" customWidth="1"/>
    <col min="8971" max="8971" width="13" style="1" customWidth="1"/>
    <col min="8972" max="8972" width="14.6640625" style="1" customWidth="1"/>
    <col min="8973" max="8974" width="0" style="1" hidden="1" customWidth="1"/>
    <col min="8975" max="8975" width="12.33203125" style="1" customWidth="1"/>
    <col min="8976" max="8976" width="15.109375" style="1" customWidth="1"/>
    <col min="8977" max="8977" width="0" style="1" hidden="1" customWidth="1"/>
    <col min="8978" max="9217" width="9.109375" style="1"/>
    <col min="9218" max="9218" width="6.44140625" style="1" customWidth="1"/>
    <col min="9219" max="9219" width="17.109375" style="1" customWidth="1"/>
    <col min="9220" max="9220" width="16.77734375" style="1" customWidth="1"/>
    <col min="9221" max="9221" width="12.77734375" style="1" customWidth="1"/>
    <col min="9222" max="9222" width="13.109375" style="1" customWidth="1"/>
    <col min="9223" max="9223" width="12.44140625" style="1" customWidth="1"/>
    <col min="9224" max="9225" width="13.44140625" style="1" customWidth="1"/>
    <col min="9226" max="9226" width="14.33203125" style="1" customWidth="1"/>
    <col min="9227" max="9227" width="13" style="1" customWidth="1"/>
    <col min="9228" max="9228" width="14.6640625" style="1" customWidth="1"/>
    <col min="9229" max="9230" width="0" style="1" hidden="1" customWidth="1"/>
    <col min="9231" max="9231" width="12.33203125" style="1" customWidth="1"/>
    <col min="9232" max="9232" width="15.109375" style="1" customWidth="1"/>
    <col min="9233" max="9233" width="0" style="1" hidden="1" customWidth="1"/>
    <col min="9234" max="9473" width="9.109375" style="1"/>
    <col min="9474" max="9474" width="6.44140625" style="1" customWidth="1"/>
    <col min="9475" max="9475" width="17.109375" style="1" customWidth="1"/>
    <col min="9476" max="9476" width="16.77734375" style="1" customWidth="1"/>
    <col min="9477" max="9477" width="12.77734375" style="1" customWidth="1"/>
    <col min="9478" max="9478" width="13.109375" style="1" customWidth="1"/>
    <col min="9479" max="9479" width="12.44140625" style="1" customWidth="1"/>
    <col min="9480" max="9481" width="13.44140625" style="1" customWidth="1"/>
    <col min="9482" max="9482" width="14.33203125" style="1" customWidth="1"/>
    <col min="9483" max="9483" width="13" style="1" customWidth="1"/>
    <col min="9484" max="9484" width="14.6640625" style="1" customWidth="1"/>
    <col min="9485" max="9486" width="0" style="1" hidden="1" customWidth="1"/>
    <col min="9487" max="9487" width="12.33203125" style="1" customWidth="1"/>
    <col min="9488" max="9488" width="15.109375" style="1" customWidth="1"/>
    <col min="9489" max="9489" width="0" style="1" hidden="1" customWidth="1"/>
    <col min="9490" max="9729" width="9.109375" style="1"/>
    <col min="9730" max="9730" width="6.44140625" style="1" customWidth="1"/>
    <col min="9731" max="9731" width="17.109375" style="1" customWidth="1"/>
    <col min="9732" max="9732" width="16.77734375" style="1" customWidth="1"/>
    <col min="9733" max="9733" width="12.77734375" style="1" customWidth="1"/>
    <col min="9734" max="9734" width="13.109375" style="1" customWidth="1"/>
    <col min="9735" max="9735" width="12.44140625" style="1" customWidth="1"/>
    <col min="9736" max="9737" width="13.44140625" style="1" customWidth="1"/>
    <col min="9738" max="9738" width="14.33203125" style="1" customWidth="1"/>
    <col min="9739" max="9739" width="13" style="1" customWidth="1"/>
    <col min="9740" max="9740" width="14.6640625" style="1" customWidth="1"/>
    <col min="9741" max="9742" width="0" style="1" hidden="1" customWidth="1"/>
    <col min="9743" max="9743" width="12.33203125" style="1" customWidth="1"/>
    <col min="9744" max="9744" width="15.109375" style="1" customWidth="1"/>
    <col min="9745" max="9745" width="0" style="1" hidden="1" customWidth="1"/>
    <col min="9746" max="9985" width="9.109375" style="1"/>
    <col min="9986" max="9986" width="6.44140625" style="1" customWidth="1"/>
    <col min="9987" max="9987" width="17.109375" style="1" customWidth="1"/>
    <col min="9988" max="9988" width="16.77734375" style="1" customWidth="1"/>
    <col min="9989" max="9989" width="12.77734375" style="1" customWidth="1"/>
    <col min="9990" max="9990" width="13.109375" style="1" customWidth="1"/>
    <col min="9991" max="9991" width="12.44140625" style="1" customWidth="1"/>
    <col min="9992" max="9993" width="13.44140625" style="1" customWidth="1"/>
    <col min="9994" max="9994" width="14.33203125" style="1" customWidth="1"/>
    <col min="9995" max="9995" width="13" style="1" customWidth="1"/>
    <col min="9996" max="9996" width="14.6640625" style="1" customWidth="1"/>
    <col min="9997" max="9998" width="0" style="1" hidden="1" customWidth="1"/>
    <col min="9999" max="9999" width="12.33203125" style="1" customWidth="1"/>
    <col min="10000" max="10000" width="15.109375" style="1" customWidth="1"/>
    <col min="10001" max="10001" width="0" style="1" hidden="1" customWidth="1"/>
    <col min="10002" max="10241" width="9.109375" style="1"/>
    <col min="10242" max="10242" width="6.44140625" style="1" customWidth="1"/>
    <col min="10243" max="10243" width="17.109375" style="1" customWidth="1"/>
    <col min="10244" max="10244" width="16.77734375" style="1" customWidth="1"/>
    <col min="10245" max="10245" width="12.77734375" style="1" customWidth="1"/>
    <col min="10246" max="10246" width="13.109375" style="1" customWidth="1"/>
    <col min="10247" max="10247" width="12.44140625" style="1" customWidth="1"/>
    <col min="10248" max="10249" width="13.44140625" style="1" customWidth="1"/>
    <col min="10250" max="10250" width="14.33203125" style="1" customWidth="1"/>
    <col min="10251" max="10251" width="13" style="1" customWidth="1"/>
    <col min="10252" max="10252" width="14.6640625" style="1" customWidth="1"/>
    <col min="10253" max="10254" width="0" style="1" hidden="1" customWidth="1"/>
    <col min="10255" max="10255" width="12.33203125" style="1" customWidth="1"/>
    <col min="10256" max="10256" width="15.109375" style="1" customWidth="1"/>
    <col min="10257" max="10257" width="0" style="1" hidden="1" customWidth="1"/>
    <col min="10258" max="10497" width="9.109375" style="1"/>
    <col min="10498" max="10498" width="6.44140625" style="1" customWidth="1"/>
    <col min="10499" max="10499" width="17.109375" style="1" customWidth="1"/>
    <col min="10500" max="10500" width="16.77734375" style="1" customWidth="1"/>
    <col min="10501" max="10501" width="12.77734375" style="1" customWidth="1"/>
    <col min="10502" max="10502" width="13.109375" style="1" customWidth="1"/>
    <col min="10503" max="10503" width="12.44140625" style="1" customWidth="1"/>
    <col min="10504" max="10505" width="13.44140625" style="1" customWidth="1"/>
    <col min="10506" max="10506" width="14.33203125" style="1" customWidth="1"/>
    <col min="10507" max="10507" width="13" style="1" customWidth="1"/>
    <col min="10508" max="10508" width="14.6640625" style="1" customWidth="1"/>
    <col min="10509" max="10510" width="0" style="1" hidden="1" customWidth="1"/>
    <col min="10511" max="10511" width="12.33203125" style="1" customWidth="1"/>
    <col min="10512" max="10512" width="15.109375" style="1" customWidth="1"/>
    <col min="10513" max="10513" width="0" style="1" hidden="1" customWidth="1"/>
    <col min="10514" max="10753" width="9.109375" style="1"/>
    <col min="10754" max="10754" width="6.44140625" style="1" customWidth="1"/>
    <col min="10755" max="10755" width="17.109375" style="1" customWidth="1"/>
    <col min="10756" max="10756" width="16.77734375" style="1" customWidth="1"/>
    <col min="10757" max="10757" width="12.77734375" style="1" customWidth="1"/>
    <col min="10758" max="10758" width="13.109375" style="1" customWidth="1"/>
    <col min="10759" max="10759" width="12.44140625" style="1" customWidth="1"/>
    <col min="10760" max="10761" width="13.44140625" style="1" customWidth="1"/>
    <col min="10762" max="10762" width="14.33203125" style="1" customWidth="1"/>
    <col min="10763" max="10763" width="13" style="1" customWidth="1"/>
    <col min="10764" max="10764" width="14.6640625" style="1" customWidth="1"/>
    <col min="10765" max="10766" width="0" style="1" hidden="1" customWidth="1"/>
    <col min="10767" max="10767" width="12.33203125" style="1" customWidth="1"/>
    <col min="10768" max="10768" width="15.109375" style="1" customWidth="1"/>
    <col min="10769" max="10769" width="0" style="1" hidden="1" customWidth="1"/>
    <col min="10770" max="11009" width="9.109375" style="1"/>
    <col min="11010" max="11010" width="6.44140625" style="1" customWidth="1"/>
    <col min="11011" max="11011" width="17.109375" style="1" customWidth="1"/>
    <col min="11012" max="11012" width="16.77734375" style="1" customWidth="1"/>
    <col min="11013" max="11013" width="12.77734375" style="1" customWidth="1"/>
    <col min="11014" max="11014" width="13.109375" style="1" customWidth="1"/>
    <col min="11015" max="11015" width="12.44140625" style="1" customWidth="1"/>
    <col min="11016" max="11017" width="13.44140625" style="1" customWidth="1"/>
    <col min="11018" max="11018" width="14.33203125" style="1" customWidth="1"/>
    <col min="11019" max="11019" width="13" style="1" customWidth="1"/>
    <col min="11020" max="11020" width="14.6640625" style="1" customWidth="1"/>
    <col min="11021" max="11022" width="0" style="1" hidden="1" customWidth="1"/>
    <col min="11023" max="11023" width="12.33203125" style="1" customWidth="1"/>
    <col min="11024" max="11024" width="15.109375" style="1" customWidth="1"/>
    <col min="11025" max="11025" width="0" style="1" hidden="1" customWidth="1"/>
    <col min="11026" max="11265" width="9.109375" style="1"/>
    <col min="11266" max="11266" width="6.44140625" style="1" customWidth="1"/>
    <col min="11267" max="11267" width="17.109375" style="1" customWidth="1"/>
    <col min="11268" max="11268" width="16.77734375" style="1" customWidth="1"/>
    <col min="11269" max="11269" width="12.77734375" style="1" customWidth="1"/>
    <col min="11270" max="11270" width="13.109375" style="1" customWidth="1"/>
    <col min="11271" max="11271" width="12.44140625" style="1" customWidth="1"/>
    <col min="11272" max="11273" width="13.44140625" style="1" customWidth="1"/>
    <col min="11274" max="11274" width="14.33203125" style="1" customWidth="1"/>
    <col min="11275" max="11275" width="13" style="1" customWidth="1"/>
    <col min="11276" max="11276" width="14.6640625" style="1" customWidth="1"/>
    <col min="11277" max="11278" width="0" style="1" hidden="1" customWidth="1"/>
    <col min="11279" max="11279" width="12.33203125" style="1" customWidth="1"/>
    <col min="11280" max="11280" width="15.109375" style="1" customWidth="1"/>
    <col min="11281" max="11281" width="0" style="1" hidden="1" customWidth="1"/>
    <col min="11282" max="11521" width="9.109375" style="1"/>
    <col min="11522" max="11522" width="6.44140625" style="1" customWidth="1"/>
    <col min="11523" max="11523" width="17.109375" style="1" customWidth="1"/>
    <col min="11524" max="11524" width="16.77734375" style="1" customWidth="1"/>
    <col min="11525" max="11525" width="12.77734375" style="1" customWidth="1"/>
    <col min="11526" max="11526" width="13.109375" style="1" customWidth="1"/>
    <col min="11527" max="11527" width="12.44140625" style="1" customWidth="1"/>
    <col min="11528" max="11529" width="13.44140625" style="1" customWidth="1"/>
    <col min="11530" max="11530" width="14.33203125" style="1" customWidth="1"/>
    <col min="11531" max="11531" width="13" style="1" customWidth="1"/>
    <col min="11532" max="11532" width="14.6640625" style="1" customWidth="1"/>
    <col min="11533" max="11534" width="0" style="1" hidden="1" customWidth="1"/>
    <col min="11535" max="11535" width="12.33203125" style="1" customWidth="1"/>
    <col min="11536" max="11536" width="15.109375" style="1" customWidth="1"/>
    <col min="11537" max="11537" width="0" style="1" hidden="1" customWidth="1"/>
    <col min="11538" max="11777" width="9.109375" style="1"/>
    <col min="11778" max="11778" width="6.44140625" style="1" customWidth="1"/>
    <col min="11779" max="11779" width="17.109375" style="1" customWidth="1"/>
    <col min="11780" max="11780" width="16.77734375" style="1" customWidth="1"/>
    <col min="11781" max="11781" width="12.77734375" style="1" customWidth="1"/>
    <col min="11782" max="11782" width="13.109375" style="1" customWidth="1"/>
    <col min="11783" max="11783" width="12.44140625" style="1" customWidth="1"/>
    <col min="11784" max="11785" width="13.44140625" style="1" customWidth="1"/>
    <col min="11786" max="11786" width="14.33203125" style="1" customWidth="1"/>
    <col min="11787" max="11787" width="13" style="1" customWidth="1"/>
    <col min="11788" max="11788" width="14.6640625" style="1" customWidth="1"/>
    <col min="11789" max="11790" width="0" style="1" hidden="1" customWidth="1"/>
    <col min="11791" max="11791" width="12.33203125" style="1" customWidth="1"/>
    <col min="11792" max="11792" width="15.109375" style="1" customWidth="1"/>
    <col min="11793" max="11793" width="0" style="1" hidden="1" customWidth="1"/>
    <col min="11794" max="12033" width="9.109375" style="1"/>
    <col min="12034" max="12034" width="6.44140625" style="1" customWidth="1"/>
    <col min="12035" max="12035" width="17.109375" style="1" customWidth="1"/>
    <col min="12036" max="12036" width="16.77734375" style="1" customWidth="1"/>
    <col min="12037" max="12037" width="12.77734375" style="1" customWidth="1"/>
    <col min="12038" max="12038" width="13.109375" style="1" customWidth="1"/>
    <col min="12039" max="12039" width="12.44140625" style="1" customWidth="1"/>
    <col min="12040" max="12041" width="13.44140625" style="1" customWidth="1"/>
    <col min="12042" max="12042" width="14.33203125" style="1" customWidth="1"/>
    <col min="12043" max="12043" width="13" style="1" customWidth="1"/>
    <col min="12044" max="12044" width="14.6640625" style="1" customWidth="1"/>
    <col min="12045" max="12046" width="0" style="1" hidden="1" customWidth="1"/>
    <col min="12047" max="12047" width="12.33203125" style="1" customWidth="1"/>
    <col min="12048" max="12048" width="15.109375" style="1" customWidth="1"/>
    <col min="12049" max="12049" width="0" style="1" hidden="1" customWidth="1"/>
    <col min="12050" max="12289" width="9.109375" style="1"/>
    <col min="12290" max="12290" width="6.44140625" style="1" customWidth="1"/>
    <col min="12291" max="12291" width="17.109375" style="1" customWidth="1"/>
    <col min="12292" max="12292" width="16.77734375" style="1" customWidth="1"/>
    <col min="12293" max="12293" width="12.77734375" style="1" customWidth="1"/>
    <col min="12294" max="12294" width="13.109375" style="1" customWidth="1"/>
    <col min="12295" max="12295" width="12.44140625" style="1" customWidth="1"/>
    <col min="12296" max="12297" width="13.44140625" style="1" customWidth="1"/>
    <col min="12298" max="12298" width="14.33203125" style="1" customWidth="1"/>
    <col min="12299" max="12299" width="13" style="1" customWidth="1"/>
    <col min="12300" max="12300" width="14.6640625" style="1" customWidth="1"/>
    <col min="12301" max="12302" width="0" style="1" hidden="1" customWidth="1"/>
    <col min="12303" max="12303" width="12.33203125" style="1" customWidth="1"/>
    <col min="12304" max="12304" width="15.109375" style="1" customWidth="1"/>
    <col min="12305" max="12305" width="0" style="1" hidden="1" customWidth="1"/>
    <col min="12306" max="12545" width="9.109375" style="1"/>
    <col min="12546" max="12546" width="6.44140625" style="1" customWidth="1"/>
    <col min="12547" max="12547" width="17.109375" style="1" customWidth="1"/>
    <col min="12548" max="12548" width="16.77734375" style="1" customWidth="1"/>
    <col min="12549" max="12549" width="12.77734375" style="1" customWidth="1"/>
    <col min="12550" max="12550" width="13.109375" style="1" customWidth="1"/>
    <col min="12551" max="12551" width="12.44140625" style="1" customWidth="1"/>
    <col min="12552" max="12553" width="13.44140625" style="1" customWidth="1"/>
    <col min="12554" max="12554" width="14.33203125" style="1" customWidth="1"/>
    <col min="12555" max="12555" width="13" style="1" customWidth="1"/>
    <col min="12556" max="12556" width="14.6640625" style="1" customWidth="1"/>
    <col min="12557" max="12558" width="0" style="1" hidden="1" customWidth="1"/>
    <col min="12559" max="12559" width="12.33203125" style="1" customWidth="1"/>
    <col min="12560" max="12560" width="15.109375" style="1" customWidth="1"/>
    <col min="12561" max="12561" width="0" style="1" hidden="1" customWidth="1"/>
    <col min="12562" max="12801" width="9.109375" style="1"/>
    <col min="12802" max="12802" width="6.44140625" style="1" customWidth="1"/>
    <col min="12803" max="12803" width="17.109375" style="1" customWidth="1"/>
    <col min="12804" max="12804" width="16.77734375" style="1" customWidth="1"/>
    <col min="12805" max="12805" width="12.77734375" style="1" customWidth="1"/>
    <col min="12806" max="12806" width="13.109375" style="1" customWidth="1"/>
    <col min="12807" max="12807" width="12.44140625" style="1" customWidth="1"/>
    <col min="12808" max="12809" width="13.44140625" style="1" customWidth="1"/>
    <col min="12810" max="12810" width="14.33203125" style="1" customWidth="1"/>
    <col min="12811" max="12811" width="13" style="1" customWidth="1"/>
    <col min="12812" max="12812" width="14.6640625" style="1" customWidth="1"/>
    <col min="12813" max="12814" width="0" style="1" hidden="1" customWidth="1"/>
    <col min="12815" max="12815" width="12.33203125" style="1" customWidth="1"/>
    <col min="12816" max="12816" width="15.109375" style="1" customWidth="1"/>
    <col min="12817" max="12817" width="0" style="1" hidden="1" customWidth="1"/>
    <col min="12818" max="13057" width="9.109375" style="1"/>
    <col min="13058" max="13058" width="6.44140625" style="1" customWidth="1"/>
    <col min="13059" max="13059" width="17.109375" style="1" customWidth="1"/>
    <col min="13060" max="13060" width="16.77734375" style="1" customWidth="1"/>
    <col min="13061" max="13061" width="12.77734375" style="1" customWidth="1"/>
    <col min="13062" max="13062" width="13.109375" style="1" customWidth="1"/>
    <col min="13063" max="13063" width="12.44140625" style="1" customWidth="1"/>
    <col min="13064" max="13065" width="13.44140625" style="1" customWidth="1"/>
    <col min="13066" max="13066" width="14.33203125" style="1" customWidth="1"/>
    <col min="13067" max="13067" width="13" style="1" customWidth="1"/>
    <col min="13068" max="13068" width="14.6640625" style="1" customWidth="1"/>
    <col min="13069" max="13070" width="0" style="1" hidden="1" customWidth="1"/>
    <col min="13071" max="13071" width="12.33203125" style="1" customWidth="1"/>
    <col min="13072" max="13072" width="15.109375" style="1" customWidth="1"/>
    <col min="13073" max="13073" width="0" style="1" hidden="1" customWidth="1"/>
    <col min="13074" max="13313" width="9.109375" style="1"/>
    <col min="13314" max="13314" width="6.44140625" style="1" customWidth="1"/>
    <col min="13315" max="13315" width="17.109375" style="1" customWidth="1"/>
    <col min="13316" max="13316" width="16.77734375" style="1" customWidth="1"/>
    <col min="13317" max="13317" width="12.77734375" style="1" customWidth="1"/>
    <col min="13318" max="13318" width="13.109375" style="1" customWidth="1"/>
    <col min="13319" max="13319" width="12.44140625" style="1" customWidth="1"/>
    <col min="13320" max="13321" width="13.44140625" style="1" customWidth="1"/>
    <col min="13322" max="13322" width="14.33203125" style="1" customWidth="1"/>
    <col min="13323" max="13323" width="13" style="1" customWidth="1"/>
    <col min="13324" max="13324" width="14.6640625" style="1" customWidth="1"/>
    <col min="13325" max="13326" width="0" style="1" hidden="1" customWidth="1"/>
    <col min="13327" max="13327" width="12.33203125" style="1" customWidth="1"/>
    <col min="13328" max="13328" width="15.109375" style="1" customWidth="1"/>
    <col min="13329" max="13329" width="0" style="1" hidden="1" customWidth="1"/>
    <col min="13330" max="13569" width="9.109375" style="1"/>
    <col min="13570" max="13570" width="6.44140625" style="1" customWidth="1"/>
    <col min="13571" max="13571" width="17.109375" style="1" customWidth="1"/>
    <col min="13572" max="13572" width="16.77734375" style="1" customWidth="1"/>
    <col min="13573" max="13573" width="12.77734375" style="1" customWidth="1"/>
    <col min="13574" max="13574" width="13.109375" style="1" customWidth="1"/>
    <col min="13575" max="13575" width="12.44140625" style="1" customWidth="1"/>
    <col min="13576" max="13577" width="13.44140625" style="1" customWidth="1"/>
    <col min="13578" max="13578" width="14.33203125" style="1" customWidth="1"/>
    <col min="13579" max="13579" width="13" style="1" customWidth="1"/>
    <col min="13580" max="13580" width="14.6640625" style="1" customWidth="1"/>
    <col min="13581" max="13582" width="0" style="1" hidden="1" customWidth="1"/>
    <col min="13583" max="13583" width="12.33203125" style="1" customWidth="1"/>
    <col min="13584" max="13584" width="15.109375" style="1" customWidth="1"/>
    <col min="13585" max="13585" width="0" style="1" hidden="1" customWidth="1"/>
    <col min="13586" max="13825" width="9.109375" style="1"/>
    <col min="13826" max="13826" width="6.44140625" style="1" customWidth="1"/>
    <col min="13827" max="13827" width="17.109375" style="1" customWidth="1"/>
    <col min="13828" max="13828" width="16.77734375" style="1" customWidth="1"/>
    <col min="13829" max="13829" width="12.77734375" style="1" customWidth="1"/>
    <col min="13830" max="13830" width="13.109375" style="1" customWidth="1"/>
    <col min="13831" max="13831" width="12.44140625" style="1" customWidth="1"/>
    <col min="13832" max="13833" width="13.44140625" style="1" customWidth="1"/>
    <col min="13834" max="13834" width="14.33203125" style="1" customWidth="1"/>
    <col min="13835" max="13835" width="13" style="1" customWidth="1"/>
    <col min="13836" max="13836" width="14.6640625" style="1" customWidth="1"/>
    <col min="13837" max="13838" width="0" style="1" hidden="1" customWidth="1"/>
    <col min="13839" max="13839" width="12.33203125" style="1" customWidth="1"/>
    <col min="13840" max="13840" width="15.109375" style="1" customWidth="1"/>
    <col min="13841" max="13841" width="0" style="1" hidden="1" customWidth="1"/>
    <col min="13842" max="14081" width="9.109375" style="1"/>
    <col min="14082" max="14082" width="6.44140625" style="1" customWidth="1"/>
    <col min="14083" max="14083" width="17.109375" style="1" customWidth="1"/>
    <col min="14084" max="14084" width="16.77734375" style="1" customWidth="1"/>
    <col min="14085" max="14085" width="12.77734375" style="1" customWidth="1"/>
    <col min="14086" max="14086" width="13.109375" style="1" customWidth="1"/>
    <col min="14087" max="14087" width="12.44140625" style="1" customWidth="1"/>
    <col min="14088" max="14089" width="13.44140625" style="1" customWidth="1"/>
    <col min="14090" max="14090" width="14.33203125" style="1" customWidth="1"/>
    <col min="14091" max="14091" width="13" style="1" customWidth="1"/>
    <col min="14092" max="14092" width="14.6640625" style="1" customWidth="1"/>
    <col min="14093" max="14094" width="0" style="1" hidden="1" customWidth="1"/>
    <col min="14095" max="14095" width="12.33203125" style="1" customWidth="1"/>
    <col min="14096" max="14096" width="15.109375" style="1" customWidth="1"/>
    <col min="14097" max="14097" width="0" style="1" hidden="1" customWidth="1"/>
    <col min="14098" max="14337" width="9.109375" style="1"/>
    <col min="14338" max="14338" width="6.44140625" style="1" customWidth="1"/>
    <col min="14339" max="14339" width="17.109375" style="1" customWidth="1"/>
    <col min="14340" max="14340" width="16.77734375" style="1" customWidth="1"/>
    <col min="14341" max="14341" width="12.77734375" style="1" customWidth="1"/>
    <col min="14342" max="14342" width="13.109375" style="1" customWidth="1"/>
    <col min="14343" max="14343" width="12.44140625" style="1" customWidth="1"/>
    <col min="14344" max="14345" width="13.44140625" style="1" customWidth="1"/>
    <col min="14346" max="14346" width="14.33203125" style="1" customWidth="1"/>
    <col min="14347" max="14347" width="13" style="1" customWidth="1"/>
    <col min="14348" max="14348" width="14.6640625" style="1" customWidth="1"/>
    <col min="14349" max="14350" width="0" style="1" hidden="1" customWidth="1"/>
    <col min="14351" max="14351" width="12.33203125" style="1" customWidth="1"/>
    <col min="14352" max="14352" width="15.109375" style="1" customWidth="1"/>
    <col min="14353" max="14353" width="0" style="1" hidden="1" customWidth="1"/>
    <col min="14354" max="14593" width="9.109375" style="1"/>
    <col min="14594" max="14594" width="6.44140625" style="1" customWidth="1"/>
    <col min="14595" max="14595" width="17.109375" style="1" customWidth="1"/>
    <col min="14596" max="14596" width="16.77734375" style="1" customWidth="1"/>
    <col min="14597" max="14597" width="12.77734375" style="1" customWidth="1"/>
    <col min="14598" max="14598" width="13.109375" style="1" customWidth="1"/>
    <col min="14599" max="14599" width="12.44140625" style="1" customWidth="1"/>
    <col min="14600" max="14601" width="13.44140625" style="1" customWidth="1"/>
    <col min="14602" max="14602" width="14.33203125" style="1" customWidth="1"/>
    <col min="14603" max="14603" width="13" style="1" customWidth="1"/>
    <col min="14604" max="14604" width="14.6640625" style="1" customWidth="1"/>
    <col min="14605" max="14606" width="0" style="1" hidden="1" customWidth="1"/>
    <col min="14607" max="14607" width="12.33203125" style="1" customWidth="1"/>
    <col min="14608" max="14608" width="15.109375" style="1" customWidth="1"/>
    <col min="14609" max="14609" width="0" style="1" hidden="1" customWidth="1"/>
    <col min="14610" max="14849" width="9.109375" style="1"/>
    <col min="14850" max="14850" width="6.44140625" style="1" customWidth="1"/>
    <col min="14851" max="14851" width="17.109375" style="1" customWidth="1"/>
    <col min="14852" max="14852" width="16.77734375" style="1" customWidth="1"/>
    <col min="14853" max="14853" width="12.77734375" style="1" customWidth="1"/>
    <col min="14854" max="14854" width="13.109375" style="1" customWidth="1"/>
    <col min="14855" max="14855" width="12.44140625" style="1" customWidth="1"/>
    <col min="14856" max="14857" width="13.44140625" style="1" customWidth="1"/>
    <col min="14858" max="14858" width="14.33203125" style="1" customWidth="1"/>
    <col min="14859" max="14859" width="13" style="1" customWidth="1"/>
    <col min="14860" max="14860" width="14.6640625" style="1" customWidth="1"/>
    <col min="14861" max="14862" width="0" style="1" hidden="1" customWidth="1"/>
    <col min="14863" max="14863" width="12.33203125" style="1" customWidth="1"/>
    <col min="14864" max="14864" width="15.109375" style="1" customWidth="1"/>
    <col min="14865" max="14865" width="0" style="1" hidden="1" customWidth="1"/>
    <col min="14866" max="15105" width="9.109375" style="1"/>
    <col min="15106" max="15106" width="6.44140625" style="1" customWidth="1"/>
    <col min="15107" max="15107" width="17.109375" style="1" customWidth="1"/>
    <col min="15108" max="15108" width="16.77734375" style="1" customWidth="1"/>
    <col min="15109" max="15109" width="12.77734375" style="1" customWidth="1"/>
    <col min="15110" max="15110" width="13.109375" style="1" customWidth="1"/>
    <col min="15111" max="15111" width="12.44140625" style="1" customWidth="1"/>
    <col min="15112" max="15113" width="13.44140625" style="1" customWidth="1"/>
    <col min="15114" max="15114" width="14.33203125" style="1" customWidth="1"/>
    <col min="15115" max="15115" width="13" style="1" customWidth="1"/>
    <col min="15116" max="15116" width="14.6640625" style="1" customWidth="1"/>
    <col min="15117" max="15118" width="0" style="1" hidden="1" customWidth="1"/>
    <col min="15119" max="15119" width="12.33203125" style="1" customWidth="1"/>
    <col min="15120" max="15120" width="15.109375" style="1" customWidth="1"/>
    <col min="15121" max="15121" width="0" style="1" hidden="1" customWidth="1"/>
    <col min="15122" max="15361" width="9.109375" style="1"/>
    <col min="15362" max="15362" width="6.44140625" style="1" customWidth="1"/>
    <col min="15363" max="15363" width="17.109375" style="1" customWidth="1"/>
    <col min="15364" max="15364" width="16.77734375" style="1" customWidth="1"/>
    <col min="15365" max="15365" width="12.77734375" style="1" customWidth="1"/>
    <col min="15366" max="15366" width="13.109375" style="1" customWidth="1"/>
    <col min="15367" max="15367" width="12.44140625" style="1" customWidth="1"/>
    <col min="15368" max="15369" width="13.44140625" style="1" customWidth="1"/>
    <col min="15370" max="15370" width="14.33203125" style="1" customWidth="1"/>
    <col min="15371" max="15371" width="13" style="1" customWidth="1"/>
    <col min="15372" max="15372" width="14.6640625" style="1" customWidth="1"/>
    <col min="15373" max="15374" width="0" style="1" hidden="1" customWidth="1"/>
    <col min="15375" max="15375" width="12.33203125" style="1" customWidth="1"/>
    <col min="15376" max="15376" width="15.109375" style="1" customWidth="1"/>
    <col min="15377" max="15377" width="0" style="1" hidden="1" customWidth="1"/>
    <col min="15378" max="15617" width="9.109375" style="1"/>
    <col min="15618" max="15618" width="6.44140625" style="1" customWidth="1"/>
    <col min="15619" max="15619" width="17.109375" style="1" customWidth="1"/>
    <col min="15620" max="15620" width="16.77734375" style="1" customWidth="1"/>
    <col min="15621" max="15621" width="12.77734375" style="1" customWidth="1"/>
    <col min="15622" max="15622" width="13.109375" style="1" customWidth="1"/>
    <col min="15623" max="15623" width="12.44140625" style="1" customWidth="1"/>
    <col min="15624" max="15625" width="13.44140625" style="1" customWidth="1"/>
    <col min="15626" max="15626" width="14.33203125" style="1" customWidth="1"/>
    <col min="15627" max="15627" width="13" style="1" customWidth="1"/>
    <col min="15628" max="15628" width="14.6640625" style="1" customWidth="1"/>
    <col min="15629" max="15630" width="0" style="1" hidden="1" customWidth="1"/>
    <col min="15631" max="15631" width="12.33203125" style="1" customWidth="1"/>
    <col min="15632" max="15632" width="15.109375" style="1" customWidth="1"/>
    <col min="15633" max="15633" width="0" style="1" hidden="1" customWidth="1"/>
    <col min="15634" max="15873" width="9.109375" style="1"/>
    <col min="15874" max="15874" width="6.44140625" style="1" customWidth="1"/>
    <col min="15875" max="15875" width="17.109375" style="1" customWidth="1"/>
    <col min="15876" max="15876" width="16.77734375" style="1" customWidth="1"/>
    <col min="15877" max="15877" width="12.77734375" style="1" customWidth="1"/>
    <col min="15878" max="15878" width="13.109375" style="1" customWidth="1"/>
    <col min="15879" max="15879" width="12.44140625" style="1" customWidth="1"/>
    <col min="15880" max="15881" width="13.44140625" style="1" customWidth="1"/>
    <col min="15882" max="15882" width="14.33203125" style="1" customWidth="1"/>
    <col min="15883" max="15883" width="13" style="1" customWidth="1"/>
    <col min="15884" max="15884" width="14.6640625" style="1" customWidth="1"/>
    <col min="15885" max="15886" width="0" style="1" hidden="1" customWidth="1"/>
    <col min="15887" max="15887" width="12.33203125" style="1" customWidth="1"/>
    <col min="15888" max="15888" width="15.109375" style="1" customWidth="1"/>
    <col min="15889" max="15889" width="0" style="1" hidden="1" customWidth="1"/>
    <col min="15890" max="16129" width="9.109375" style="1"/>
    <col min="16130" max="16130" width="6.44140625" style="1" customWidth="1"/>
    <col min="16131" max="16131" width="17.109375" style="1" customWidth="1"/>
    <col min="16132" max="16132" width="16.77734375" style="1" customWidth="1"/>
    <col min="16133" max="16133" width="12.77734375" style="1" customWidth="1"/>
    <col min="16134" max="16134" width="13.109375" style="1" customWidth="1"/>
    <col min="16135" max="16135" width="12.44140625" style="1" customWidth="1"/>
    <col min="16136" max="16137" width="13.44140625" style="1" customWidth="1"/>
    <col min="16138" max="16138" width="14.33203125" style="1" customWidth="1"/>
    <col min="16139" max="16139" width="13" style="1" customWidth="1"/>
    <col min="16140" max="16140" width="14.6640625" style="1" customWidth="1"/>
    <col min="16141" max="16142" width="0" style="1" hidden="1" customWidth="1"/>
    <col min="16143" max="16143" width="12.33203125" style="1" customWidth="1"/>
    <col min="16144" max="16144" width="15.109375" style="1" customWidth="1"/>
    <col min="16145" max="16145" width="0" style="1" hidden="1" customWidth="1"/>
    <col min="16146" max="16384" width="9.109375" style="1"/>
  </cols>
  <sheetData>
    <row r="1" spans="1:17" ht="32.25" customHeight="1" x14ac:dyDescent="0.75">
      <c r="A1" s="48" t="s">
        <v>23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7" ht="24.75" customHeight="1" thickBot="1" x14ac:dyDescent="0.7">
      <c r="A2" s="49" t="s">
        <v>45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1:17" s="2" customFormat="1" ht="24" customHeight="1" thickTop="1" x14ac:dyDescent="0.6">
      <c r="A3" s="50" t="s">
        <v>0</v>
      </c>
      <c r="B3" s="52" t="s">
        <v>1</v>
      </c>
      <c r="C3" s="54" t="s">
        <v>2</v>
      </c>
      <c r="D3" s="44"/>
      <c r="E3" s="56" t="s">
        <v>3</v>
      </c>
      <c r="F3" s="54" t="s">
        <v>4</v>
      </c>
      <c r="G3" s="58" t="s">
        <v>5</v>
      </c>
      <c r="H3" s="59"/>
      <c r="I3" s="60"/>
      <c r="J3" s="61"/>
      <c r="K3" s="58" t="s">
        <v>6</v>
      </c>
      <c r="L3" s="60"/>
      <c r="M3" s="60"/>
      <c r="N3" s="62"/>
      <c r="O3" s="61"/>
      <c r="P3" s="63" t="s">
        <v>7</v>
      </c>
      <c r="Q3" s="44" t="s">
        <v>8</v>
      </c>
    </row>
    <row r="4" spans="1:17" s="2" customFormat="1" ht="22.8" thickBot="1" x14ac:dyDescent="0.65">
      <c r="A4" s="51"/>
      <c r="B4" s="53"/>
      <c r="C4" s="55"/>
      <c r="D4" s="45"/>
      <c r="E4" s="57"/>
      <c r="F4" s="55"/>
      <c r="G4" s="3" t="s">
        <v>9</v>
      </c>
      <c r="H4" s="41"/>
      <c r="I4" s="4" t="s">
        <v>24</v>
      </c>
      <c r="J4" s="5" t="s">
        <v>10</v>
      </c>
      <c r="K4" s="6" t="s">
        <v>11</v>
      </c>
      <c r="L4" s="7" t="s">
        <v>12</v>
      </c>
      <c r="M4" s="4" t="s">
        <v>13</v>
      </c>
      <c r="N4" s="8" t="s">
        <v>14</v>
      </c>
      <c r="O4" s="9" t="s">
        <v>15</v>
      </c>
      <c r="P4" s="64"/>
      <c r="Q4" s="45"/>
    </row>
    <row r="5" spans="1:17" ht="30" customHeight="1" thickTop="1" x14ac:dyDescent="0.65">
      <c r="A5" s="29">
        <v>1</v>
      </c>
      <c r="B5" s="30">
        <v>1210101147968</v>
      </c>
      <c r="C5" s="10" t="s">
        <v>27</v>
      </c>
      <c r="D5" s="11" t="s">
        <v>28</v>
      </c>
      <c r="E5" s="31" t="s">
        <v>32</v>
      </c>
      <c r="F5" s="32" t="s">
        <v>29</v>
      </c>
      <c r="G5" s="33">
        <v>12000</v>
      </c>
      <c r="H5" s="42">
        <v>0</v>
      </c>
      <c r="I5" s="34">
        <v>0</v>
      </c>
      <c r="J5" s="35">
        <f t="shared" ref="J5:J8" si="0">+G5+I5</f>
        <v>12000</v>
      </c>
      <c r="K5" s="33">
        <v>0</v>
      </c>
      <c r="L5" s="34">
        <v>0</v>
      </c>
      <c r="M5" s="34"/>
      <c r="N5" s="34"/>
      <c r="O5" s="35">
        <f t="shared" ref="O5:O9" si="1">+N5+M5+L5+K5</f>
        <v>0</v>
      </c>
      <c r="P5" s="36">
        <f>+J5-O5</f>
        <v>12000</v>
      </c>
      <c r="Q5" s="12"/>
    </row>
    <row r="6" spans="1:17" ht="30" customHeight="1" x14ac:dyDescent="0.65">
      <c r="A6" s="29">
        <v>2</v>
      </c>
      <c r="B6" s="30">
        <v>1101700366529</v>
      </c>
      <c r="C6" s="13" t="s">
        <v>30</v>
      </c>
      <c r="D6" s="14" t="s">
        <v>31</v>
      </c>
      <c r="E6" s="31" t="s">
        <v>32</v>
      </c>
      <c r="F6" s="32" t="s">
        <v>25</v>
      </c>
      <c r="G6" s="33">
        <v>12000</v>
      </c>
      <c r="H6" s="42">
        <v>0</v>
      </c>
      <c r="I6" s="34">
        <v>0</v>
      </c>
      <c r="J6" s="35">
        <f t="shared" si="0"/>
        <v>12000</v>
      </c>
      <c r="K6" s="33">
        <v>0</v>
      </c>
      <c r="L6" s="34">
        <v>0</v>
      </c>
      <c r="M6" s="34"/>
      <c r="N6" s="34"/>
      <c r="O6" s="35">
        <f t="shared" si="1"/>
        <v>0</v>
      </c>
      <c r="P6" s="36">
        <f t="shared" ref="P6:P9" si="2">+J6-O6</f>
        <v>12000</v>
      </c>
      <c r="Q6" s="12"/>
    </row>
    <row r="7" spans="1:17" ht="30.6" customHeight="1" x14ac:dyDescent="0.65">
      <c r="A7" s="29">
        <v>3</v>
      </c>
      <c r="B7" s="30">
        <v>1100600454689</v>
      </c>
      <c r="C7" s="13" t="s">
        <v>33</v>
      </c>
      <c r="D7" s="14" t="s">
        <v>34</v>
      </c>
      <c r="E7" s="31" t="s">
        <v>32</v>
      </c>
      <c r="F7" s="32" t="s">
        <v>25</v>
      </c>
      <c r="G7" s="33">
        <v>12000</v>
      </c>
      <c r="H7" s="42">
        <v>0</v>
      </c>
      <c r="I7" s="34">
        <v>0</v>
      </c>
      <c r="J7" s="35">
        <f>+G7+I7</f>
        <v>12000</v>
      </c>
      <c r="K7" s="33">
        <v>0</v>
      </c>
      <c r="L7" s="34">
        <v>0</v>
      </c>
      <c r="M7" s="34"/>
      <c r="N7" s="34"/>
      <c r="O7" s="35">
        <f>+N7+M7+L7+K7</f>
        <v>0</v>
      </c>
      <c r="P7" s="36">
        <f>+J7-O7</f>
        <v>12000</v>
      </c>
      <c r="Q7" s="12"/>
    </row>
    <row r="8" spans="1:17" ht="30" customHeight="1" x14ac:dyDescent="0.65">
      <c r="A8" s="29">
        <v>4</v>
      </c>
      <c r="B8" s="30">
        <v>1104700081730</v>
      </c>
      <c r="C8" s="13" t="s">
        <v>42</v>
      </c>
      <c r="D8" s="14" t="s">
        <v>43</v>
      </c>
      <c r="E8" s="31" t="s">
        <v>44</v>
      </c>
      <c r="F8" s="32" t="s">
        <v>39</v>
      </c>
      <c r="G8" s="33">
        <v>5032.26</v>
      </c>
      <c r="H8" s="42">
        <v>0</v>
      </c>
      <c r="I8" s="34">
        <v>0</v>
      </c>
      <c r="J8" s="35">
        <f>G8</f>
        <v>5032.26</v>
      </c>
      <c r="K8" s="33">
        <v>251.61</v>
      </c>
      <c r="L8" s="34">
        <v>0</v>
      </c>
      <c r="M8" s="34"/>
      <c r="N8" s="34"/>
      <c r="O8" s="35">
        <v>0</v>
      </c>
      <c r="P8" s="36">
        <v>4780.6499999999996</v>
      </c>
      <c r="Q8" s="12"/>
    </row>
    <row r="9" spans="1:17" ht="30" customHeight="1" x14ac:dyDescent="0.65">
      <c r="A9" s="37">
        <v>5</v>
      </c>
      <c r="B9" s="30" t="s">
        <v>38</v>
      </c>
      <c r="C9" s="38" t="s">
        <v>36</v>
      </c>
      <c r="D9" s="39" t="s">
        <v>37</v>
      </c>
      <c r="E9" s="31" t="s">
        <v>16</v>
      </c>
      <c r="F9" s="32" t="s">
        <v>35</v>
      </c>
      <c r="G9" s="40">
        <v>12000</v>
      </c>
      <c r="H9" s="42">
        <v>0</v>
      </c>
      <c r="I9" s="34">
        <v>0</v>
      </c>
      <c r="J9" s="35">
        <f>G9+H9</f>
        <v>12000</v>
      </c>
      <c r="K9" s="33">
        <f t="shared" ref="K9" si="3">ROUND(MAX(1650,MIN(17500,G9))*5%,0)</f>
        <v>600</v>
      </c>
      <c r="L9" s="34">
        <v>0</v>
      </c>
      <c r="M9" s="34"/>
      <c r="N9" s="34"/>
      <c r="O9" s="35">
        <f t="shared" si="1"/>
        <v>600</v>
      </c>
      <c r="P9" s="36">
        <f t="shared" si="2"/>
        <v>11400</v>
      </c>
      <c r="Q9" s="15"/>
    </row>
    <row r="10" spans="1:17" s="21" customFormat="1" ht="30" customHeight="1" thickBot="1" x14ac:dyDescent="0.7">
      <c r="A10" s="46" t="s">
        <v>26</v>
      </c>
      <c r="B10" s="47"/>
      <c r="C10" s="47"/>
      <c r="D10" s="47"/>
      <c r="E10" s="47"/>
      <c r="F10" s="47"/>
      <c r="G10" s="16">
        <f>SUM(G5:G9)</f>
        <v>53032.26</v>
      </c>
      <c r="H10" s="43"/>
      <c r="I10" s="17">
        <f>SUM(I5:I9)</f>
        <v>0</v>
      </c>
      <c r="J10" s="18">
        <f>SUM(J5:J9)</f>
        <v>53032.26</v>
      </c>
      <c r="K10" s="16">
        <f>SUM(K5:K9)</f>
        <v>851.61</v>
      </c>
      <c r="L10" s="17">
        <f>SUM(L5:L9)</f>
        <v>0</v>
      </c>
      <c r="M10" s="17">
        <f>SUM(M5:M7)</f>
        <v>0</v>
      </c>
      <c r="N10" s="17">
        <f>SUM(N5:N7)</f>
        <v>0</v>
      </c>
      <c r="O10" s="18">
        <f>SUM(O5:O9)</f>
        <v>600</v>
      </c>
      <c r="P10" s="19">
        <f>SUM(P5:P9)</f>
        <v>52180.65</v>
      </c>
      <c r="Q10" s="20"/>
    </row>
    <row r="11" spans="1:17" s="23" customFormat="1" ht="35.25" customHeight="1" thickTop="1" x14ac:dyDescent="0.6">
      <c r="A11" s="22" t="s">
        <v>17</v>
      </c>
      <c r="C11" s="22" t="s">
        <v>18</v>
      </c>
      <c r="D11" s="24" t="s">
        <v>19</v>
      </c>
      <c r="E11" s="25"/>
      <c r="F11" s="25"/>
      <c r="G11" s="25" t="s">
        <v>20</v>
      </c>
      <c r="H11" s="25"/>
    </row>
    <row r="12" spans="1:17" s="23" customFormat="1" ht="29.25" customHeight="1" x14ac:dyDescent="0.6">
      <c r="D12" s="26" t="s">
        <v>21</v>
      </c>
      <c r="E12" s="27"/>
      <c r="F12" s="25"/>
      <c r="G12" s="25" t="s">
        <v>40</v>
      </c>
      <c r="H12" s="25">
        <f>P10</f>
        <v>52180.65</v>
      </c>
      <c r="I12" s="23" t="s">
        <v>41</v>
      </c>
    </row>
    <row r="13" spans="1:17" s="26" customFormat="1" x14ac:dyDescent="0.6">
      <c r="E13" s="27"/>
      <c r="F13" s="27"/>
      <c r="G13" s="27"/>
      <c r="H13" s="27"/>
    </row>
    <row r="15" spans="1:17" x14ac:dyDescent="0.6">
      <c r="C15" s="1" t="s">
        <v>22</v>
      </c>
      <c r="E15" s="27"/>
      <c r="F15" s="28"/>
      <c r="G15" s="28"/>
      <c r="H15" s="28"/>
    </row>
    <row r="16" spans="1:17" x14ac:dyDescent="0.6">
      <c r="E16" s="27"/>
      <c r="F16" s="28"/>
      <c r="G16" s="28"/>
      <c r="H16" s="28"/>
    </row>
    <row r="17" spans="5:6" x14ac:dyDescent="0.6">
      <c r="E17" s="27"/>
      <c r="F17" s="28"/>
    </row>
    <row r="18" spans="5:6" x14ac:dyDescent="0.6">
      <c r="E18" s="27"/>
      <c r="F18" s="28"/>
    </row>
    <row r="19" spans="5:6" x14ac:dyDescent="0.6">
      <c r="E19" s="27"/>
      <c r="F19" s="28"/>
    </row>
    <row r="20" spans="5:6" x14ac:dyDescent="0.6">
      <c r="E20" s="27"/>
      <c r="F20" s="28"/>
    </row>
  </sheetData>
  <mergeCells count="12">
    <mergeCell ref="Q3:Q4"/>
    <mergeCell ref="A10:F10"/>
    <mergeCell ref="A1:P1"/>
    <mergeCell ref="A2:P2"/>
    <mergeCell ref="A3:A4"/>
    <mergeCell ref="B3:B4"/>
    <mergeCell ref="C3:D4"/>
    <mergeCell ref="E3:E4"/>
    <mergeCell ref="F3:F4"/>
    <mergeCell ref="G3:J3"/>
    <mergeCell ref="K3:O3"/>
    <mergeCell ref="P3:P4"/>
  </mergeCells>
  <printOptions horizontalCentered="1"/>
  <pageMargins left="0" right="0" top="0.19685039370078741" bottom="0.31496062992125984" header="0.23622047244094491" footer="0.11811023622047245"/>
  <pageSetup paperSize="9" scale="66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2569-01</vt:lpstr>
      <vt:lpstr>'2569-01'!Print_Area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Karndet Sirijirakarnjareon</cp:lastModifiedBy>
  <cp:lastPrinted>2026-05-10T13:44:11Z</cp:lastPrinted>
  <dcterms:created xsi:type="dcterms:W3CDTF">2026-01-16T06:45:19Z</dcterms:created>
  <dcterms:modified xsi:type="dcterms:W3CDTF">2026-06-15T05:29:03Z</dcterms:modified>
</cp:coreProperties>
</file>